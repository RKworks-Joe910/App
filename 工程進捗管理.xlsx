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工程進捗管理" sheetId="1" state="visible" r:id="rId1"/>
    <sheet name="使い方・凡例"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FFFFFF"/>
      <sz val="10"/>
    </font>
    <font>
      <b val="1"/>
      <color rgb="00FFFFFF"/>
      <sz val="11"/>
    </font>
    <font>
      <b val="1"/>
      <color rgb="00FFFFFF"/>
      <sz val="9"/>
    </font>
    <font>
      <b val="1"/>
      <color rgb="001F4E79"/>
      <sz val="9"/>
    </font>
    <font>
      <b val="1"/>
      <color rgb="00843C0C"/>
      <sz val="9"/>
    </font>
    <font>
      <sz val="9"/>
    </font>
    <font>
      <b val="1"/>
      <sz val="9"/>
    </font>
    <font>
      <color rgb="00AAAAAA"/>
      <sz val="9"/>
    </font>
    <font>
      <b val="1"/>
      <sz val="11"/>
    </font>
  </fonts>
  <fills count="12">
    <fill>
      <patternFill/>
    </fill>
    <fill>
      <patternFill patternType="gray125"/>
    </fill>
    <fill>
      <patternFill patternType="solid">
        <fgColor rgb="001F4E79"/>
      </patternFill>
    </fill>
    <fill>
      <patternFill patternType="solid">
        <fgColor rgb="002E75B6"/>
      </patternFill>
    </fill>
    <fill>
      <patternFill patternType="solid">
        <fgColor rgb="00C55A11"/>
      </patternFill>
    </fill>
    <fill>
      <patternFill patternType="solid">
        <fgColor rgb="009DC3E6"/>
      </patternFill>
    </fill>
    <fill>
      <patternFill patternType="solid">
        <fgColor rgb="00F4B183"/>
      </patternFill>
    </fill>
    <fill>
      <patternFill patternType="solid">
        <fgColor rgb="00FFFFFF"/>
      </patternFill>
    </fill>
    <fill>
      <patternFill patternType="solid">
        <fgColor rgb="00BDD7EE"/>
      </patternFill>
    </fill>
    <fill>
      <patternFill patternType="solid">
        <fgColor rgb="00FFD966"/>
      </patternFill>
    </fill>
    <fill>
      <patternFill patternType="solid">
        <fgColor rgb="00D9D9D9"/>
      </patternFill>
    </fill>
    <fill>
      <patternFill patternType="solid">
        <fgColor rgb="00F2F7FF"/>
      </patternFill>
    </fill>
  </fills>
  <borders count="5">
    <border>
      <left/>
      <right/>
      <top/>
      <bottom/>
      <diagonal/>
    </border>
    <border>
      <left style="thin">
        <color rgb="00AAAAAA"/>
      </left>
      <right style="thin">
        <color rgb="00AAAAAA"/>
      </right>
      <top style="thin">
        <color rgb="00AAAAAA"/>
      </top>
      <bottom style="thin">
        <color rgb="00AAAAAA"/>
      </bottom>
    </border>
    <border>
      <left/>
      <right/>
      <top style="thin">
        <color rgb="00AAAAAA"/>
      </top>
      <bottom/>
      <diagonal/>
    </border>
    <border>
      <left/>
      <right style="thin">
        <color rgb="00AAAAAA"/>
      </right>
      <top style="thin">
        <color rgb="00AAAAAA"/>
      </top>
      <bottom/>
      <diagonal/>
    </border>
    <border>
      <left/>
      <right style="thin">
        <color rgb="00AAAAAA"/>
      </right>
      <top style="thin">
        <color rgb="00AAAAAA"/>
      </top>
      <bottom style="thin">
        <color rgb="00AAAAAA"/>
      </bottom>
      <diagonal/>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xf numFmtId="0" fontId="2" fillId="4" borderId="0" applyAlignment="1" pivotButton="0" quotePrefix="0" xfId="0">
      <alignment horizontal="center" vertical="center"/>
    </xf>
    <xf numFmtId="0" fontId="3" fillId="3" borderId="0" applyAlignment="1" pivotButton="0" quotePrefix="0" xfId="0">
      <alignment horizontal="center" vertical="center"/>
    </xf>
    <xf numFmtId="0" fontId="4" fillId="5" borderId="1" applyAlignment="1" pivotButton="0" quotePrefix="0" xfId="0">
      <alignment horizontal="center" vertical="center"/>
    </xf>
    <xf numFmtId="0" fontId="5" fillId="6" borderId="0" applyAlignment="1" pivotButton="0" quotePrefix="0" xfId="0">
      <alignment horizontal="center" vertical="center"/>
    </xf>
    <xf numFmtId="0" fontId="6" fillId="7" borderId="1" applyAlignment="1" pivotButton="0" quotePrefix="0" xfId="0">
      <alignment vertical="center"/>
    </xf>
    <xf numFmtId="0" fontId="0" fillId="0" borderId="4" pivotButton="0" quotePrefix="0" xfId="0"/>
    <xf numFmtId="0" fontId="6" fillId="7" borderId="1" applyAlignment="1" pivotButton="0" quotePrefix="0" xfId="0">
      <alignment vertical="center" wrapText="1"/>
    </xf>
    <xf numFmtId="0" fontId="6" fillId="8" borderId="1" applyAlignment="1" pivotButton="0" quotePrefix="0" xfId="0">
      <alignment vertical="center" wrapText="1"/>
    </xf>
    <xf numFmtId="0" fontId="7" fillId="9" borderId="1" applyAlignment="1" pivotButton="0" quotePrefix="0" xfId="0">
      <alignment horizontal="center" vertical="center"/>
    </xf>
    <xf numFmtId="0" fontId="8" fillId="10" borderId="1" applyAlignment="1" pivotButton="0" quotePrefix="0" xfId="0">
      <alignment horizontal="center" vertical="center"/>
    </xf>
    <xf numFmtId="0" fontId="9" fillId="0" borderId="1" applyAlignment="1" pivotButton="0" quotePrefix="0" xfId="0">
      <alignment horizontal="center" vertical="center"/>
    </xf>
    <xf numFmtId="0" fontId="6" fillId="11" borderId="1" applyAlignment="1" pivotButton="0" quotePrefix="0" xfId="0">
      <alignment vertical="center"/>
    </xf>
    <xf numFmtId="0" fontId="6" fillId="11" borderId="1" applyAlignment="1" pivotButton="0" quotePrefix="0" xfId="0">
      <alignment vertical="center" wrapText="1"/>
    </xf>
  </cellXfs>
  <cellStyles count="1">
    <cellStyle name="Normal" xfId="0" builtinId="0" hidden="0"/>
  </cellStyles>
  <dxfs count="5">
    <dxf>
      <font>
        <b val="1"/>
        <color rgb="00FFFFFF"/>
        <sz val="9"/>
      </font>
      <fill>
        <patternFill patternType="solid">
          <fgColor rgb="0070AD47"/>
        </patternFill>
      </fill>
    </dxf>
    <dxf>
      <font>
        <b val="1"/>
        <color rgb="00FFFFFF"/>
        <sz val="9"/>
      </font>
      <fill>
        <patternFill patternType="solid">
          <fgColor rgb="002E75B6"/>
        </patternFill>
      </fill>
    </dxf>
    <dxf>
      <font>
        <b val="1"/>
        <color rgb="007F6000"/>
        <sz val="9"/>
      </font>
      <fill>
        <patternFill patternType="solid">
          <fgColor rgb="00FFD966"/>
        </patternFill>
      </fill>
    </dxf>
    <dxf>
      <font>
        <b val="1"/>
        <color rgb="00FFFFFF"/>
        <sz val="11"/>
      </font>
      <fill>
        <patternFill patternType="solid">
          <fgColor rgb="0070AD47"/>
        </patternFill>
      </fill>
    </dxf>
    <dxf>
      <font>
        <b val="1"/>
        <color rgb="00FFFFFF"/>
        <sz val="11"/>
      </font>
      <fill>
        <patternFill patternType="solid">
          <fgColor rgb="00FF6B6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1"/>
  <sheetViews>
    <sheetView workbookViewId="0">
      <pane xSplit="4" ySplit="2" topLeftCell="E3" activePane="bottomRight" state="frozen"/>
      <selection pane="topRight"/>
      <selection pane="bottomLeft"/>
      <selection pane="bottomRight" activeCell="A1" sqref="A1"/>
    </sheetView>
  </sheetViews>
  <sheetFormatPr baseColWidth="8" defaultRowHeight="15"/>
  <cols>
    <col width="14" customWidth="1" min="1" max="1"/>
    <col width="2" customWidth="1" min="2" max="2"/>
    <col width="18" customWidth="1" min="3" max="3"/>
    <col width="2" customWidth="1" min="4" max="4"/>
    <col width="28" customWidth="1" min="5" max="5"/>
    <col width="9" customWidth="1" min="6" max="6"/>
    <col width="28" customWidth="1" min="7" max="7"/>
    <col width="9" customWidth="1" min="8" max="8"/>
    <col width="28" customWidth="1" min="9" max="9"/>
    <col width="9" customWidth="1" min="10" max="10"/>
    <col width="28" customWidth="1" min="11" max="11"/>
    <col width="9" customWidth="1" min="12" max="12"/>
    <col width="8" customWidth="1" min="13" max="13"/>
  </cols>
  <sheetData>
    <row r="1" ht="22" customHeight="1">
      <c r="A1" s="1" t="inlineStr">
        <is>
          <t>図面番号</t>
        </is>
      </c>
      <c r="C1" s="1" t="inlineStr">
        <is>
          <t>品名</t>
        </is>
      </c>
      <c r="E1" s="2" t="inlineStr">
        <is>
          <t>工程 1</t>
        </is>
      </c>
      <c r="G1" s="2" t="inlineStr">
        <is>
          <t>工程 2</t>
        </is>
      </c>
      <c r="I1" s="2" t="inlineStr">
        <is>
          <t>工程 3</t>
        </is>
      </c>
      <c r="K1" s="2" t="inlineStr">
        <is>
          <t>工程 4</t>
        </is>
      </c>
      <c r="M1" s="3" t="inlineStr">
        <is>
          <t>注残数</t>
        </is>
      </c>
    </row>
    <row r="2" ht="16" customHeight="1">
      <c r="A2" s="4" t="inlineStr">
        <is>
          <t>図番</t>
        </is>
      </c>
      <c r="B2" s="4" t="inlineStr"/>
      <c r="C2" s="4" t="inlineStr">
        <is>
          <t>品名</t>
        </is>
      </c>
      <c r="D2" s="4" t="inlineStr"/>
      <c r="E2" s="5" t="inlineStr">
        <is>
          <t>工程名</t>
        </is>
      </c>
      <c r="F2" s="5" t="inlineStr">
        <is>
          <t>ステータス</t>
        </is>
      </c>
      <c r="G2" s="5" t="inlineStr">
        <is>
          <t>工程名</t>
        </is>
      </c>
      <c r="H2" s="5" t="inlineStr">
        <is>
          <t>ステータス</t>
        </is>
      </c>
      <c r="I2" s="5" t="inlineStr">
        <is>
          <t>工程名</t>
        </is>
      </c>
      <c r="J2" s="5" t="inlineStr">
        <is>
          <t>ステータス</t>
        </is>
      </c>
      <c r="K2" s="5" t="inlineStr">
        <is>
          <t>工程名</t>
        </is>
      </c>
      <c r="L2" s="5" t="inlineStr">
        <is>
          <t>ステータス</t>
        </is>
      </c>
      <c r="M2" s="6" t="inlineStr">
        <is>
          <t>（未完了）</t>
        </is>
      </c>
    </row>
    <row r="3" ht="32" customHeight="1">
      <c r="A3" s="7" t="inlineStr">
        <is>
          <t>RGH3-A002-00</t>
        </is>
      </c>
      <c r="B3" s="8" t="n"/>
      <c r="C3" s="9" t="inlineStr">
        <is>
          <t>取付板</t>
        </is>
      </c>
      <c r="D3" s="8" t="n"/>
      <c r="E3" s="10" t="inlineStr">
        <is>
          <t>関根製作所（全加工）</t>
        </is>
      </c>
      <c r="F3" s="11" t="inlineStr">
        <is>
          <t>未着手</t>
        </is>
      </c>
      <c r="G3" s="10" t="inlineStr">
        <is>
          <t>さくらＧＳ</t>
        </is>
      </c>
      <c r="H3" s="11" t="inlineStr">
        <is>
          <t>未着手</t>
        </is>
      </c>
      <c r="I3" s="12" t="inlineStr">
        <is>
          <t>-</t>
        </is>
      </c>
      <c r="J3" s="12" t="inlineStr">
        <is>
          <t>-</t>
        </is>
      </c>
      <c r="K3" s="12" t="inlineStr">
        <is>
          <t>-</t>
        </is>
      </c>
      <c r="L3" s="12" t="inlineStr">
        <is>
          <t>-</t>
        </is>
      </c>
      <c r="M3" s="13">
        <f>2-(COUNTIF(F3,"完了")+COUNTIF(H3,"完了")+COUNTIF(J3,"完了")+COUNTIF(L3,"完了"))</f>
        <v/>
      </c>
    </row>
    <row r="4" ht="32" customHeight="1">
      <c r="A4" s="14" t="inlineStr">
        <is>
          <t>RGH3-B001-00</t>
        </is>
      </c>
      <c r="B4" s="8" t="n"/>
      <c r="C4" s="15" t="inlineStr">
        <is>
          <t>ｽﾌﾟﾘﾝｸﾞｱｰﾑ組立</t>
        </is>
      </c>
      <c r="D4" s="8" t="n"/>
      <c r="E4" s="10" t="inlineStr">
        <is>
          <t>ＲＧＨ3-007ｽﾌﾟﾘﾝｸﾞｱ‐ﾑ板（関根製作所全加工）</t>
        </is>
      </c>
      <c r="F4" s="11" t="inlineStr">
        <is>
          <t>未着手</t>
        </is>
      </c>
      <c r="G4" s="10" t="inlineStr">
        <is>
          <t>社内ボール盤</t>
        </is>
      </c>
      <c r="H4" s="11" t="inlineStr">
        <is>
          <t>未着手</t>
        </is>
      </c>
      <c r="I4" s="10" t="inlineStr">
        <is>
          <t>さくらＧＳ</t>
        </is>
      </c>
      <c r="J4" s="11" t="inlineStr">
        <is>
          <t>未着手</t>
        </is>
      </c>
      <c r="K4" s="12" t="inlineStr">
        <is>
          <t>-</t>
        </is>
      </c>
      <c r="L4" s="12" t="inlineStr">
        <is>
          <t>-</t>
        </is>
      </c>
      <c r="M4" s="13">
        <f>3-(COUNTIF(F4,"完了")+COUNTIF(H4,"完了")+COUNTIF(J4,"完了")+COUNTIF(L4,"完了"))</f>
        <v/>
      </c>
    </row>
    <row r="5" ht="32" customHeight="1">
      <c r="A5" s="7" t="inlineStr">
        <is>
          <t>RGH3-006</t>
        </is>
      </c>
      <c r="B5" s="8" t="n"/>
      <c r="C5" s="9" t="inlineStr">
        <is>
          <t>ｱｰﾑ軸受</t>
        </is>
      </c>
      <c r="D5" s="8" t="n"/>
      <c r="E5" s="10" t="inlineStr">
        <is>
          <t>SS磨 Φ25X500L   社内旋盤加工</t>
        </is>
      </c>
      <c r="F5" s="11" t="inlineStr">
        <is>
          <t>未着手</t>
        </is>
      </c>
      <c r="G5" s="10" t="inlineStr">
        <is>
          <t>関根製作所支給 (RGH3-B003-00共通部品）</t>
        </is>
      </c>
      <c r="H5" s="11" t="inlineStr">
        <is>
          <t>未着手</t>
        </is>
      </c>
      <c r="I5" s="12" t="inlineStr">
        <is>
          <t>-</t>
        </is>
      </c>
      <c r="J5" s="12" t="inlineStr">
        <is>
          <t>-</t>
        </is>
      </c>
      <c r="K5" s="12" t="inlineStr">
        <is>
          <t>-</t>
        </is>
      </c>
      <c r="L5" s="12" t="inlineStr">
        <is>
          <t>-</t>
        </is>
      </c>
      <c r="M5" s="13">
        <f>2-(COUNTIF(F5,"完了")+COUNTIF(H5,"完了")+COUNTIF(J5,"完了")+COUNTIF(L5,"完了"))</f>
        <v/>
      </c>
    </row>
    <row r="6" ht="32" customHeight="1">
      <c r="A6" s="14" t="inlineStr">
        <is>
          <t>RGH3-A008-00</t>
        </is>
      </c>
      <c r="B6" s="8" t="n"/>
      <c r="C6" s="15" t="inlineStr">
        <is>
          <t>ｱ－ﾑ軸</t>
        </is>
      </c>
      <c r="D6" s="8" t="n"/>
      <c r="E6" s="10" t="inlineStr">
        <is>
          <t>SSﾐｶﾞｷ Φ25Ｘ79Ｌ 製作数購入    社内旋盤</t>
        </is>
      </c>
      <c r="F6" s="11" t="inlineStr">
        <is>
          <t>未着手</t>
        </is>
      </c>
      <c r="G6" s="10" t="inlineStr">
        <is>
          <t>さくらＧＳ</t>
        </is>
      </c>
      <c r="H6" s="11" t="inlineStr">
        <is>
          <t>未着手</t>
        </is>
      </c>
      <c r="I6" s="12" t="inlineStr">
        <is>
          <t>-</t>
        </is>
      </c>
      <c r="J6" s="12" t="inlineStr">
        <is>
          <t>-</t>
        </is>
      </c>
      <c r="K6" s="12" t="inlineStr">
        <is>
          <t>-</t>
        </is>
      </c>
      <c r="L6" s="12" t="inlineStr">
        <is>
          <t>-</t>
        </is>
      </c>
      <c r="M6" s="13">
        <f>2-(COUNTIF(F6,"完了")+COUNTIF(H6,"完了")+COUNTIF(J6,"完了")+COUNTIF(L6,"完了"))</f>
        <v/>
      </c>
    </row>
    <row r="7" ht="32" customHeight="1">
      <c r="A7" s="7" t="inlineStr">
        <is>
          <t>RGH3-A011-00</t>
        </is>
      </c>
      <c r="B7" s="8" t="n"/>
      <c r="C7" s="9" t="inlineStr">
        <is>
          <t>中間コロ</t>
        </is>
      </c>
      <c r="D7" s="8" t="n"/>
      <c r="E7" s="10" t="inlineStr">
        <is>
          <t>合成素材（全加工）</t>
        </is>
      </c>
      <c r="F7" s="11" t="inlineStr">
        <is>
          <t>未着手</t>
        </is>
      </c>
      <c r="G7" s="12" t="inlineStr">
        <is>
          <t>-</t>
        </is>
      </c>
      <c r="H7" s="12" t="inlineStr">
        <is>
          <t>-</t>
        </is>
      </c>
      <c r="I7" s="12" t="inlineStr">
        <is>
          <t>-</t>
        </is>
      </c>
      <c r="J7" s="12" t="inlineStr">
        <is>
          <t>-</t>
        </is>
      </c>
      <c r="K7" s="12" t="inlineStr">
        <is>
          <t>-</t>
        </is>
      </c>
      <c r="L7" s="12" t="inlineStr">
        <is>
          <t>-</t>
        </is>
      </c>
      <c r="M7" s="13">
        <f>1-(COUNTIF(F7,"完了")+COUNTIF(H7,"完了")+COUNTIF(J7,"完了")+COUNTIF(L7,"完了"))</f>
        <v/>
      </c>
    </row>
    <row r="8" ht="32" customHeight="1">
      <c r="A8" s="14" t="inlineStr">
        <is>
          <t>RGH3-A012-00</t>
        </is>
      </c>
      <c r="B8" s="8" t="n"/>
      <c r="C8" s="15" t="inlineStr">
        <is>
          <t>ｽﾌﾟﾘﾝｸﾞ用ﾎﾞﾙﾄ</t>
        </is>
      </c>
      <c r="D8" s="8" t="n"/>
      <c r="E8" s="10" t="inlineStr">
        <is>
          <t>IKE(全加工）</t>
        </is>
      </c>
      <c r="F8" s="11" t="inlineStr">
        <is>
          <t>未着手</t>
        </is>
      </c>
      <c r="G8" s="10" t="inlineStr">
        <is>
          <t>さくらＧＳ</t>
        </is>
      </c>
      <c r="H8" s="11" t="inlineStr">
        <is>
          <t>未着手</t>
        </is>
      </c>
      <c r="I8" s="12" t="inlineStr">
        <is>
          <t>-</t>
        </is>
      </c>
      <c r="J8" s="12" t="inlineStr">
        <is>
          <t>-</t>
        </is>
      </c>
      <c r="K8" s="12" t="inlineStr">
        <is>
          <t>-</t>
        </is>
      </c>
      <c r="L8" s="12" t="inlineStr">
        <is>
          <t>-</t>
        </is>
      </c>
      <c r="M8" s="13">
        <f>2-(COUNTIF(F8,"完了")+COUNTIF(H8,"完了")+COUNTIF(J8,"完了")+COUNTIF(L8,"完了"))</f>
        <v/>
      </c>
    </row>
    <row r="9" ht="32" customHeight="1">
      <c r="A9" s="7" t="inlineStr">
        <is>
          <t>RGH3-A013-00</t>
        </is>
      </c>
      <c r="B9" s="8" t="n"/>
      <c r="C9" s="9" t="inlineStr">
        <is>
          <t>後部ｽﾌﾟﾘﾝｸﾞ保持器</t>
        </is>
      </c>
      <c r="D9" s="8" t="n"/>
      <c r="E9" s="10" t="inlineStr">
        <is>
          <t>A5056 Φ35Ｘ120L  購入  社内旋盤</t>
        </is>
      </c>
      <c r="F9" s="11" t="inlineStr">
        <is>
          <t>未着手</t>
        </is>
      </c>
      <c r="G9" s="12" t="inlineStr">
        <is>
          <t>-</t>
        </is>
      </c>
      <c r="H9" s="12" t="inlineStr">
        <is>
          <t>-</t>
        </is>
      </c>
      <c r="I9" s="12" t="inlineStr">
        <is>
          <t>-</t>
        </is>
      </c>
      <c r="J9" s="12" t="inlineStr">
        <is>
          <t>-</t>
        </is>
      </c>
      <c r="K9" s="12" t="inlineStr">
        <is>
          <t>-</t>
        </is>
      </c>
      <c r="L9" s="12" t="inlineStr">
        <is>
          <t>-</t>
        </is>
      </c>
      <c r="M9" s="13">
        <f>1-(COUNTIF(F9,"完了")+COUNTIF(H9,"完了")+COUNTIF(J9,"完了")+COUNTIF(L9,"完了"))</f>
        <v/>
      </c>
    </row>
    <row r="10" ht="32" customHeight="1">
      <c r="A10" s="14" t="inlineStr">
        <is>
          <t>RGH3-A014-00</t>
        </is>
      </c>
      <c r="B10" s="8" t="n"/>
      <c r="C10" s="15" t="inlineStr">
        <is>
          <t>前部ｽﾌﾟﾘﾝｸﾞ保持器</t>
        </is>
      </c>
      <c r="D10" s="8" t="n"/>
      <c r="E10" s="10" t="inlineStr">
        <is>
          <t>合成素材（全加工）</t>
        </is>
      </c>
      <c r="F10" s="11" t="inlineStr">
        <is>
          <t>未着手</t>
        </is>
      </c>
      <c r="G10" s="12" t="inlineStr">
        <is>
          <t>-</t>
        </is>
      </c>
      <c r="H10" s="12" t="inlineStr">
        <is>
          <t>-</t>
        </is>
      </c>
      <c r="I10" s="12" t="inlineStr">
        <is>
          <t>-</t>
        </is>
      </c>
      <c r="J10" s="12" t="inlineStr">
        <is>
          <t>-</t>
        </is>
      </c>
      <c r="K10" s="12" t="inlineStr">
        <is>
          <t>-</t>
        </is>
      </c>
      <c r="L10" s="12" t="inlineStr">
        <is>
          <t>-</t>
        </is>
      </c>
      <c r="M10" s="13">
        <f>1-(COUNTIF(F10,"完了")+COUNTIF(H10,"完了")+COUNTIF(J10,"完了")+COUNTIF(L10,"完了"))</f>
        <v/>
      </c>
    </row>
    <row r="11" ht="32" customHeight="1">
      <c r="A11" s="7" t="inlineStr">
        <is>
          <t>RGH3-A015-00</t>
        </is>
      </c>
      <c r="B11" s="8" t="n"/>
      <c r="C11" s="9" t="inlineStr">
        <is>
          <t>ｽﾌﾟﾘﾝｸﾞ支持台</t>
        </is>
      </c>
      <c r="D11" s="8" t="n"/>
      <c r="E11" s="10" t="inlineStr">
        <is>
          <t>三和ステンレス（全加工）</t>
        </is>
      </c>
      <c r="F11" s="11" t="inlineStr">
        <is>
          <t>未着手</t>
        </is>
      </c>
      <c r="G11" s="10" t="inlineStr">
        <is>
          <t>さくらＧＳ</t>
        </is>
      </c>
      <c r="H11" s="11" t="inlineStr">
        <is>
          <t>未着手</t>
        </is>
      </c>
      <c r="I11" s="12" t="inlineStr">
        <is>
          <t>-</t>
        </is>
      </c>
      <c r="J11" s="12" t="inlineStr">
        <is>
          <t>-</t>
        </is>
      </c>
      <c r="K11" s="12" t="inlineStr">
        <is>
          <t>-</t>
        </is>
      </c>
      <c r="L11" s="12" t="inlineStr">
        <is>
          <t>-</t>
        </is>
      </c>
      <c r="M11" s="13">
        <f>2-(COUNTIF(F11,"完了")+COUNTIF(H11,"完了")+COUNTIF(J11,"完了")+COUNTIF(L11,"完了"))</f>
        <v/>
      </c>
    </row>
    <row r="12" ht="32" customHeight="1">
      <c r="A12" s="14" t="inlineStr">
        <is>
          <t>RGH3-A016-00</t>
        </is>
      </c>
      <c r="B12" s="8" t="n"/>
      <c r="C12" s="15" t="inlineStr">
        <is>
          <t>ｽﾌﾟﾘﾝｸﾞ中間軸</t>
        </is>
      </c>
      <c r="D12" s="8" t="n"/>
      <c r="E12" s="10" t="inlineStr">
        <is>
          <t>ヨシザワ（全加工）</t>
        </is>
      </c>
      <c r="F12" s="11" t="inlineStr">
        <is>
          <t>未着手</t>
        </is>
      </c>
      <c r="G12" s="10" t="inlineStr">
        <is>
          <t>さくらＧＳ</t>
        </is>
      </c>
      <c r="H12" s="11" t="inlineStr">
        <is>
          <t>未着手</t>
        </is>
      </c>
      <c r="I12" s="12" t="inlineStr">
        <is>
          <t>-</t>
        </is>
      </c>
      <c r="J12" s="12" t="inlineStr">
        <is>
          <t>-</t>
        </is>
      </c>
      <c r="K12" s="12" t="inlineStr">
        <is>
          <t>-</t>
        </is>
      </c>
      <c r="L12" s="12" t="inlineStr">
        <is>
          <t>-</t>
        </is>
      </c>
      <c r="M12" s="13">
        <f>2-(COUNTIF(F12,"完了")+COUNTIF(H12,"完了")+COUNTIF(J12,"完了")+COUNTIF(L12,"完了"))</f>
        <v/>
      </c>
    </row>
    <row r="13" ht="32" customHeight="1">
      <c r="A13" s="7" t="inlineStr">
        <is>
          <t>RGH3-A017-00</t>
        </is>
      </c>
      <c r="B13" s="8" t="n"/>
      <c r="C13" s="9" t="inlineStr">
        <is>
          <t>ｽﾌﾟﾘﾝｸﾞ中間軸受け</t>
        </is>
      </c>
      <c r="D13" s="8" t="n"/>
      <c r="E13" s="10" t="inlineStr">
        <is>
          <t>アイナ（全加工）</t>
        </is>
      </c>
      <c r="F13" s="11" t="inlineStr">
        <is>
          <t>未着手</t>
        </is>
      </c>
      <c r="G13" s="10" t="inlineStr">
        <is>
          <t>さくらＧＳ</t>
        </is>
      </c>
      <c r="H13" s="11" t="inlineStr">
        <is>
          <t>未着手</t>
        </is>
      </c>
      <c r="I13" s="12" t="inlineStr">
        <is>
          <t>-</t>
        </is>
      </c>
      <c r="J13" s="12" t="inlineStr">
        <is>
          <t>-</t>
        </is>
      </c>
      <c r="K13" s="12" t="inlineStr">
        <is>
          <t>-</t>
        </is>
      </c>
      <c r="L13" s="12" t="inlineStr">
        <is>
          <t>-</t>
        </is>
      </c>
      <c r="M13" s="13">
        <f>2-(COUNTIF(F13,"完了")+COUNTIF(H13,"完了")+COUNTIF(J13,"完了")+COUNTIF(L13,"完了"))</f>
        <v/>
      </c>
    </row>
    <row r="14" ht="32" customHeight="1">
      <c r="A14" s="14" t="inlineStr">
        <is>
          <t>RGH3-A019-01</t>
        </is>
      </c>
      <c r="B14" s="8" t="n"/>
      <c r="C14" s="15" t="inlineStr">
        <is>
          <t>ﾀﾞﾝﾊﾟ-先端金具</t>
        </is>
      </c>
      <c r="D14" s="8" t="n"/>
      <c r="E14" s="10" t="inlineStr">
        <is>
          <t>三和ステンレス（全加工）</t>
        </is>
      </c>
      <c r="F14" s="11" t="inlineStr">
        <is>
          <t>未着手</t>
        </is>
      </c>
      <c r="G14" s="10" t="inlineStr">
        <is>
          <t>さくらＧＳ</t>
        </is>
      </c>
      <c r="H14" s="11" t="inlineStr">
        <is>
          <t>未着手</t>
        </is>
      </c>
      <c r="I14" s="12" t="inlineStr">
        <is>
          <t>-</t>
        </is>
      </c>
      <c r="J14" s="12" t="inlineStr">
        <is>
          <t>-</t>
        </is>
      </c>
      <c r="K14" s="12" t="inlineStr">
        <is>
          <t>-</t>
        </is>
      </c>
      <c r="L14" s="12" t="inlineStr">
        <is>
          <t>-</t>
        </is>
      </c>
      <c r="M14" s="13">
        <f>2-(COUNTIF(F14,"完了")+COUNTIF(H14,"完了")+COUNTIF(J14,"完了")+COUNTIF(L14,"完了"))</f>
        <v/>
      </c>
    </row>
    <row r="15" ht="32" customHeight="1">
      <c r="A15" s="7" t="inlineStr">
        <is>
          <t>RGH3-A020-00</t>
        </is>
      </c>
      <c r="B15" s="8" t="n"/>
      <c r="C15" s="9" t="inlineStr">
        <is>
          <t>中間コロ軸</t>
        </is>
      </c>
      <c r="D15" s="8" t="n"/>
      <c r="E15" s="10" t="inlineStr">
        <is>
          <t>IKE(全加工）</t>
        </is>
      </c>
      <c r="F15" s="11" t="inlineStr">
        <is>
          <t>未着手</t>
        </is>
      </c>
      <c r="G15" s="10" t="inlineStr">
        <is>
          <t>さくらＧＳ</t>
        </is>
      </c>
      <c r="H15" s="11" t="inlineStr">
        <is>
          <t>未着手</t>
        </is>
      </c>
      <c r="I15" s="12" t="inlineStr">
        <is>
          <t>-</t>
        </is>
      </c>
      <c r="J15" s="12" t="inlineStr">
        <is>
          <t>-</t>
        </is>
      </c>
      <c r="K15" s="12" t="inlineStr">
        <is>
          <t>-</t>
        </is>
      </c>
      <c r="L15" s="12" t="inlineStr">
        <is>
          <t>-</t>
        </is>
      </c>
      <c r="M15" s="13">
        <f>2-(COUNTIF(F15,"完了")+COUNTIF(H15,"完了")+COUNTIF(J15,"完了")+COUNTIF(L15,"完了"))</f>
        <v/>
      </c>
    </row>
    <row r="16" ht="32" customHeight="1">
      <c r="A16" s="14" t="inlineStr">
        <is>
          <t>RGH3-A023-01</t>
        </is>
      </c>
      <c r="B16" s="8" t="n"/>
      <c r="C16" s="15" t="inlineStr">
        <is>
          <t>ﾗﾁｪｯﾄ爪</t>
        </is>
      </c>
      <c r="D16" s="8" t="n"/>
      <c r="E16" s="10" t="inlineStr">
        <is>
          <t>三和ステンレス（全加工）</t>
        </is>
      </c>
      <c r="F16" s="11" t="inlineStr">
        <is>
          <t>未着手</t>
        </is>
      </c>
      <c r="G16" s="10" t="inlineStr">
        <is>
          <t>社内ﾎﾞ‐ﾙ盤（Φ17ﾘ‐ﾏ）</t>
        </is>
      </c>
      <c r="H16" s="11" t="inlineStr">
        <is>
          <t>未着手</t>
        </is>
      </c>
      <c r="I16" s="10" t="inlineStr">
        <is>
          <t>ｱｽﾞﾏ（表面高周波焼入）</t>
        </is>
      </c>
      <c r="J16" s="11" t="inlineStr">
        <is>
          <t>未着手</t>
        </is>
      </c>
      <c r="K16" s="10" t="inlineStr">
        <is>
          <t>さくらＧＳ</t>
        </is>
      </c>
      <c r="L16" s="11" t="inlineStr">
        <is>
          <t>未着手</t>
        </is>
      </c>
      <c r="M16" s="13">
        <f>4-(COUNTIF(F16,"完了")+COUNTIF(H16,"完了")+COUNTIF(J16,"完了")+COUNTIF(L16,"完了"))</f>
        <v/>
      </c>
    </row>
    <row r="17" ht="32" customHeight="1">
      <c r="A17" s="7" t="inlineStr">
        <is>
          <t>RGH3-A025-00</t>
        </is>
      </c>
      <c r="B17" s="8" t="n"/>
      <c r="C17" s="9" t="inlineStr">
        <is>
          <t>ﾗﾁｪｯﾄ爪支柱</t>
        </is>
      </c>
      <c r="D17" s="8" t="n"/>
      <c r="E17" s="10" t="inlineStr">
        <is>
          <t>SSﾐｶﾞｷΦ25Ｘ300Ｌ １本購入 社内旋盤</t>
        </is>
      </c>
      <c r="F17" s="11" t="inlineStr">
        <is>
          <t>未着手</t>
        </is>
      </c>
      <c r="G17" s="10" t="inlineStr">
        <is>
          <t>さくらＧＳ</t>
        </is>
      </c>
      <c r="H17" s="11" t="inlineStr">
        <is>
          <t>未着手</t>
        </is>
      </c>
      <c r="I17" s="12" t="inlineStr">
        <is>
          <t>-</t>
        </is>
      </c>
      <c r="J17" s="12" t="inlineStr">
        <is>
          <t>-</t>
        </is>
      </c>
      <c r="K17" s="12" t="inlineStr">
        <is>
          <t>-</t>
        </is>
      </c>
      <c r="L17" s="12" t="inlineStr">
        <is>
          <t>-</t>
        </is>
      </c>
      <c r="M17" s="13">
        <f>2-(COUNTIF(F17,"完了")+COUNTIF(H17,"完了")+COUNTIF(J17,"完了")+COUNTIF(L17,"完了"))</f>
        <v/>
      </c>
    </row>
    <row r="18" ht="32" customHeight="1">
      <c r="A18" s="14" t="inlineStr">
        <is>
          <t>RGH3-A026-00</t>
        </is>
      </c>
      <c r="B18" s="8" t="n"/>
      <c r="C18" s="15" t="inlineStr">
        <is>
          <t>ﾗﾁｪｯﾄ爪保持ﾌﾞｯｼｭ</t>
        </is>
      </c>
      <c r="D18" s="8" t="n"/>
      <c r="E18" s="10" t="inlineStr">
        <is>
          <t>合成素材（全加工）</t>
        </is>
      </c>
      <c r="F18" s="11" t="inlineStr">
        <is>
          <t>未着手</t>
        </is>
      </c>
      <c r="G18" s="12" t="inlineStr">
        <is>
          <t>-</t>
        </is>
      </c>
      <c r="H18" s="12" t="inlineStr">
        <is>
          <t>-</t>
        </is>
      </c>
      <c r="I18" s="12" t="inlineStr">
        <is>
          <t>-</t>
        </is>
      </c>
      <c r="J18" s="12" t="inlineStr">
        <is>
          <t>-</t>
        </is>
      </c>
      <c r="K18" s="12" t="inlineStr">
        <is>
          <t>-</t>
        </is>
      </c>
      <c r="L18" s="12" t="inlineStr">
        <is>
          <t>-</t>
        </is>
      </c>
      <c r="M18" s="13">
        <f>1-(COUNTIF(F18,"完了")+COUNTIF(H18,"完了")+COUNTIF(J18,"完了")+COUNTIF(L18,"完了"))</f>
        <v/>
      </c>
    </row>
    <row r="19" ht="32" customHeight="1">
      <c r="A19" s="7" t="inlineStr">
        <is>
          <t>RGH3-A103-01</t>
        </is>
      </c>
      <c r="B19" s="8" t="n"/>
      <c r="C19" s="9" t="inlineStr">
        <is>
          <t>ｿﾚﾉｲﾄﾞ台</t>
        </is>
      </c>
      <c r="D19" s="8" t="n"/>
      <c r="E19" s="10" t="inlineStr">
        <is>
          <t>アイナ（全加工）</t>
        </is>
      </c>
      <c r="F19" s="11" t="inlineStr">
        <is>
          <t>未着手</t>
        </is>
      </c>
      <c r="G19" s="10" t="inlineStr">
        <is>
          <t>さくらＧＳ</t>
        </is>
      </c>
      <c r="H19" s="11" t="inlineStr">
        <is>
          <t>未着手</t>
        </is>
      </c>
      <c r="I19" s="12" t="inlineStr">
        <is>
          <t>-</t>
        </is>
      </c>
      <c r="J19" s="12" t="inlineStr">
        <is>
          <t>-</t>
        </is>
      </c>
      <c r="K19" s="12" t="inlineStr">
        <is>
          <t>-</t>
        </is>
      </c>
      <c r="L19" s="12" t="inlineStr">
        <is>
          <t>-</t>
        </is>
      </c>
      <c r="M19" s="13">
        <f>2-(COUNTIF(F19,"完了")+COUNTIF(H19,"完了")+COUNTIF(J19,"完了")+COUNTIF(L19,"完了"))</f>
        <v/>
      </c>
    </row>
    <row r="20" ht="32" customHeight="1">
      <c r="A20" s="14" t="inlineStr">
        <is>
          <t>RGH3-A100-02</t>
        </is>
      </c>
      <c r="B20" s="8" t="n"/>
      <c r="C20" s="15" t="inlineStr">
        <is>
          <t>ｿﾚﾉｲﾄﾞｶﾞｲﾄﾞ</t>
        </is>
      </c>
      <c r="D20" s="8" t="n"/>
      <c r="E20" s="10" t="inlineStr">
        <is>
          <t>三和ステンレス（全加工）</t>
        </is>
      </c>
      <c r="F20" s="11" t="inlineStr">
        <is>
          <t>未着手</t>
        </is>
      </c>
      <c r="G20" s="10" t="inlineStr">
        <is>
          <t>精光電装（アルマイト）</t>
        </is>
      </c>
      <c r="H20" s="11" t="inlineStr">
        <is>
          <t>未着手</t>
        </is>
      </c>
      <c r="I20" s="12" t="inlineStr">
        <is>
          <t>-</t>
        </is>
      </c>
      <c r="J20" s="12" t="inlineStr">
        <is>
          <t>-</t>
        </is>
      </c>
      <c r="K20" s="12" t="inlineStr">
        <is>
          <t>-</t>
        </is>
      </c>
      <c r="L20" s="12" t="inlineStr">
        <is>
          <t>-</t>
        </is>
      </c>
      <c r="M20" s="13">
        <f>2-(COUNTIF(F20,"完了")+COUNTIF(H20,"完了")+COUNTIF(J20,"完了")+COUNTIF(L20,"完了"))</f>
        <v/>
      </c>
    </row>
    <row r="21" ht="32" customHeight="1">
      <c r="A21" s="7" t="inlineStr">
        <is>
          <t>RGH3-A104-03</t>
        </is>
      </c>
      <c r="B21" s="8" t="n"/>
      <c r="C21" s="9" t="inlineStr">
        <is>
          <t>ｿﾚﾉｲﾄﾞﾛｯｸ金具</t>
        </is>
      </c>
      <c r="D21" s="8" t="n"/>
      <c r="E21" s="10" t="inlineStr">
        <is>
          <t>アイナ（全加工）</t>
        </is>
      </c>
      <c r="F21" s="11" t="inlineStr">
        <is>
          <t>未着手</t>
        </is>
      </c>
      <c r="G21" s="10" t="inlineStr">
        <is>
          <t>松本研磨（バフ）</t>
        </is>
      </c>
      <c r="H21" s="11" t="inlineStr">
        <is>
          <t>未着手</t>
        </is>
      </c>
      <c r="I21" s="12" t="inlineStr">
        <is>
          <t>-</t>
        </is>
      </c>
      <c r="J21" s="12" t="inlineStr">
        <is>
          <t>-</t>
        </is>
      </c>
      <c r="K21" s="12" t="inlineStr">
        <is>
          <t>-</t>
        </is>
      </c>
      <c r="L21" s="12" t="inlineStr">
        <is>
          <t>-</t>
        </is>
      </c>
      <c r="M21" s="13">
        <f>2-(COUNTIF(F21,"完了")+COUNTIF(H21,"完了")+COUNTIF(J21,"完了")+COUNTIF(L21,"完了"))</f>
        <v/>
      </c>
    </row>
    <row r="22" ht="32" customHeight="1">
      <c r="A22" s="14" t="inlineStr">
        <is>
          <t>RGH3-A102-00</t>
        </is>
      </c>
      <c r="B22" s="8" t="n"/>
      <c r="C22" s="15" t="inlineStr">
        <is>
          <t>連結金具</t>
        </is>
      </c>
      <c r="D22" s="8" t="n"/>
      <c r="E22" s="10" t="inlineStr">
        <is>
          <t>関根製作所（全加工）</t>
        </is>
      </c>
      <c r="F22" s="11" t="inlineStr">
        <is>
          <t>未着手</t>
        </is>
      </c>
      <c r="G22" s="12" t="inlineStr">
        <is>
          <t>-</t>
        </is>
      </c>
      <c r="H22" s="12" t="inlineStr">
        <is>
          <t>-</t>
        </is>
      </c>
      <c r="I22" s="12" t="inlineStr">
        <is>
          <t>-</t>
        </is>
      </c>
      <c r="J22" s="12" t="inlineStr">
        <is>
          <t>-</t>
        </is>
      </c>
      <c r="K22" s="12" t="inlineStr">
        <is>
          <t>-</t>
        </is>
      </c>
      <c r="L22" s="12" t="inlineStr">
        <is>
          <t>-</t>
        </is>
      </c>
      <c r="M22" s="13">
        <f>1-(COUNTIF(F22,"完了")+COUNTIF(H22,"完了")+COUNTIF(J22,"完了")+COUNTIF(L22,"完了"))</f>
        <v/>
      </c>
    </row>
    <row r="23" ht="32" customHeight="1">
      <c r="A23" s="7" t="inlineStr">
        <is>
          <t>RGH3-A049-01</t>
        </is>
      </c>
      <c r="B23" s="8" t="n"/>
      <c r="C23" s="9" t="inlineStr">
        <is>
          <t>ﾍﾞｱﾘﾝｸﾞ保持器</t>
        </is>
      </c>
      <c r="D23" s="8" t="n"/>
      <c r="E23" s="10" t="inlineStr">
        <is>
          <t>ＳＳ黒皮Φ150Ｘ35Ｌ 製作数購入 茨城工場</t>
        </is>
      </c>
      <c r="F23" s="11" t="inlineStr">
        <is>
          <t>未着手</t>
        </is>
      </c>
      <c r="G23" s="10" t="inlineStr">
        <is>
          <t>さくらＧＳ</t>
        </is>
      </c>
      <c r="H23" s="11" t="inlineStr">
        <is>
          <t>未着手</t>
        </is>
      </c>
      <c r="I23" s="12" t="inlineStr">
        <is>
          <t>-</t>
        </is>
      </c>
      <c r="J23" s="12" t="inlineStr">
        <is>
          <t>-</t>
        </is>
      </c>
      <c r="K23" s="12" t="inlineStr">
        <is>
          <t>-</t>
        </is>
      </c>
      <c r="L23" s="12" t="inlineStr">
        <is>
          <t>-</t>
        </is>
      </c>
      <c r="M23" s="13">
        <f>2-(COUNTIF(F23,"完了")+COUNTIF(H23,"完了")+COUNTIF(J23,"完了")+COUNTIF(L23,"完了"))</f>
        <v/>
      </c>
    </row>
    <row r="24" ht="32" customHeight="1">
      <c r="A24" s="14" t="inlineStr">
        <is>
          <t>RGH3-A050-00</t>
        </is>
      </c>
      <c r="B24" s="8" t="n"/>
      <c r="C24" s="15" t="inlineStr">
        <is>
          <t>ｽﾍﾟ-ｻ-</t>
        </is>
      </c>
      <c r="D24" s="8" t="n"/>
      <c r="E24" s="10" t="inlineStr">
        <is>
          <t>真鍮Ｃ3604Φ100Ｘ25Ｌ 製作数購入 社内旋盤</t>
        </is>
      </c>
      <c r="F24" s="11" t="inlineStr">
        <is>
          <t>未着手</t>
        </is>
      </c>
      <c r="G24" s="12" t="inlineStr">
        <is>
          <t>-</t>
        </is>
      </c>
      <c r="H24" s="12" t="inlineStr">
        <is>
          <t>-</t>
        </is>
      </c>
      <c r="I24" s="12" t="inlineStr">
        <is>
          <t>-</t>
        </is>
      </c>
      <c r="J24" s="12" t="inlineStr">
        <is>
          <t>-</t>
        </is>
      </c>
      <c r="K24" s="12" t="inlineStr">
        <is>
          <t>-</t>
        </is>
      </c>
      <c r="L24" s="12" t="inlineStr">
        <is>
          <t>-</t>
        </is>
      </c>
      <c r="M24" s="13">
        <f>1-(COUNTIF(F24,"完了")+COUNTIF(H24,"完了")+COUNTIF(J24,"完了")+COUNTIF(L24,"完了"))</f>
        <v/>
      </c>
    </row>
    <row r="25" ht="32" customHeight="1">
      <c r="A25" s="7" t="inlineStr">
        <is>
          <t>RGH3-A101-02</t>
        </is>
      </c>
      <c r="B25" s="8" t="n"/>
      <c r="C25" s="9" t="inlineStr">
        <is>
          <t>ｶﾞｲﾄﾞ棒</t>
        </is>
      </c>
      <c r="D25" s="8" t="n"/>
      <c r="E25" s="10" t="inlineStr">
        <is>
          <t>IKE(全加工）</t>
        </is>
      </c>
      <c r="F25" s="11" t="inlineStr">
        <is>
          <t>未着手</t>
        </is>
      </c>
      <c r="G25" s="12" t="inlineStr">
        <is>
          <t>-</t>
        </is>
      </c>
      <c r="H25" s="12" t="inlineStr">
        <is>
          <t>-</t>
        </is>
      </c>
      <c r="I25" s="12" t="inlineStr">
        <is>
          <t>-</t>
        </is>
      </c>
      <c r="J25" s="12" t="inlineStr">
        <is>
          <t>-</t>
        </is>
      </c>
      <c r="K25" s="12" t="inlineStr">
        <is>
          <t>-</t>
        </is>
      </c>
      <c r="L25" s="12" t="inlineStr">
        <is>
          <t>-</t>
        </is>
      </c>
      <c r="M25" s="13">
        <f>1-(COUNTIF(F25,"完了")+COUNTIF(H25,"完了")+COUNTIF(J25,"完了")+COUNTIF(L25,"完了"))</f>
        <v/>
      </c>
    </row>
    <row r="26" ht="32" customHeight="1">
      <c r="A26" s="14" t="inlineStr">
        <is>
          <t>RGH3-A003-04</t>
        </is>
      </c>
      <c r="B26" s="8" t="n"/>
      <c r="C26" s="15" t="inlineStr">
        <is>
          <t>１２０度台盤</t>
        </is>
      </c>
      <c r="D26" s="8" t="n"/>
      <c r="E26" s="10" t="inlineStr">
        <is>
          <t>関根製作所（全加工）</t>
        </is>
      </c>
      <c r="F26" s="11" t="inlineStr">
        <is>
          <t>未着手</t>
        </is>
      </c>
      <c r="G26" s="12" t="inlineStr">
        <is>
          <t>-</t>
        </is>
      </c>
      <c r="H26" s="12" t="inlineStr">
        <is>
          <t>-</t>
        </is>
      </c>
      <c r="I26" s="12" t="inlineStr">
        <is>
          <t>-</t>
        </is>
      </c>
      <c r="J26" s="12" t="inlineStr">
        <is>
          <t>-</t>
        </is>
      </c>
      <c r="K26" s="12" t="inlineStr">
        <is>
          <t>-</t>
        </is>
      </c>
      <c r="L26" s="12" t="inlineStr">
        <is>
          <t>-</t>
        </is>
      </c>
      <c r="M26" s="13">
        <f>1-(COUNTIF(F26,"完了")+COUNTIF(H26,"完了")+COUNTIF(J26,"完了")+COUNTIF(L26,"完了"))</f>
        <v/>
      </c>
    </row>
    <row r="27" ht="32" customHeight="1">
      <c r="A27" s="7" t="inlineStr">
        <is>
          <t>RGH3-A005-01</t>
        </is>
      </c>
      <c r="B27" s="8" t="n"/>
      <c r="C27" s="9" t="inlineStr">
        <is>
          <t>１２０度ｶﾑ</t>
        </is>
      </c>
      <c r="D27" s="8" t="n"/>
      <c r="E27" s="10" t="inlineStr">
        <is>
          <t>SCM４１５黒皮 Φ115Ｘ18Ｌ 製作数購入 茨城工場</t>
        </is>
      </c>
      <c r="F27" s="11" t="inlineStr">
        <is>
          <t>未着手</t>
        </is>
      </c>
      <c r="G27" s="10" t="inlineStr">
        <is>
          <t>ｱｽﾞﾏ（表面高周波焼入）</t>
        </is>
      </c>
      <c r="H27" s="11" t="inlineStr">
        <is>
          <t>未着手</t>
        </is>
      </c>
      <c r="I27" s="10" t="inlineStr">
        <is>
          <t>さくらＧＳ</t>
        </is>
      </c>
      <c r="J27" s="11" t="inlineStr">
        <is>
          <t>未着手</t>
        </is>
      </c>
      <c r="K27" s="12" t="inlineStr">
        <is>
          <t>-</t>
        </is>
      </c>
      <c r="L27" s="12" t="inlineStr">
        <is>
          <t>-</t>
        </is>
      </c>
      <c r="M27" s="13">
        <f>3-(COUNTIF(F27,"完了")+COUNTIF(H27,"完了")+COUNTIF(J27,"完了")+COUNTIF(L27,"完了"))</f>
        <v/>
      </c>
    </row>
    <row r="28" ht="32" customHeight="1">
      <c r="A28" s="14" t="inlineStr">
        <is>
          <t>RGH3-B003-00</t>
        </is>
      </c>
      <c r="B28" s="8" t="n"/>
      <c r="C28" s="15" t="inlineStr">
        <is>
          <t>ﾀﾞﾝﾊﾟ-ｱｰﾑ組立</t>
        </is>
      </c>
      <c r="D28" s="8" t="n"/>
      <c r="E28" s="10" t="inlineStr">
        <is>
          <t>RGH3-042 ダンパーアーム板（関根製作所全加工）</t>
        </is>
      </c>
      <c r="F28" s="11" t="inlineStr">
        <is>
          <t>未着手</t>
        </is>
      </c>
      <c r="G28" s="12" t="inlineStr">
        <is>
          <t>-</t>
        </is>
      </c>
      <c r="H28" s="12" t="inlineStr">
        <is>
          <t>-</t>
        </is>
      </c>
      <c r="I28" s="12" t="inlineStr">
        <is>
          <t>-</t>
        </is>
      </c>
      <c r="J28" s="12" t="inlineStr">
        <is>
          <t>-</t>
        </is>
      </c>
      <c r="K28" s="12" t="inlineStr">
        <is>
          <t>-</t>
        </is>
      </c>
      <c r="L28" s="12" t="inlineStr">
        <is>
          <t>-</t>
        </is>
      </c>
      <c r="M28" s="13">
        <f>1-(COUNTIF(F28,"完了")+COUNTIF(H28,"完了")+COUNTIF(J28,"完了")+COUNTIF(L28,"完了"))</f>
        <v/>
      </c>
    </row>
    <row r="29" ht="32" customHeight="1">
      <c r="A29" s="7" t="inlineStr">
        <is>
          <t>RGH3-A031-01</t>
        </is>
      </c>
      <c r="B29" s="8" t="n"/>
      <c r="C29" s="9" t="inlineStr">
        <is>
          <t>120度用回転軸</t>
        </is>
      </c>
      <c r="D29" s="8" t="n"/>
      <c r="E29" s="10" t="inlineStr">
        <is>
          <t>Ｓ45Ｃ Φ150Ｘ75 製作数購入 ｱｽﾞﾏ（焼きなまし）</t>
        </is>
      </c>
      <c r="F29" s="11" t="inlineStr">
        <is>
          <t>未着手</t>
        </is>
      </c>
      <c r="G29" s="10" t="inlineStr">
        <is>
          <t>茨城工場</t>
        </is>
      </c>
      <c r="H29" s="11" t="inlineStr">
        <is>
          <t>未着手</t>
        </is>
      </c>
      <c r="I29" s="10" t="inlineStr">
        <is>
          <t>ｱｽﾞﾏ（表面高周波焼入）</t>
        </is>
      </c>
      <c r="J29" s="11" t="inlineStr">
        <is>
          <t>未着手</t>
        </is>
      </c>
      <c r="K29" s="10" t="inlineStr">
        <is>
          <t>さくらＧＳ</t>
        </is>
      </c>
      <c r="L29" s="11" t="inlineStr">
        <is>
          <t>未着手</t>
        </is>
      </c>
      <c r="M29" s="13">
        <f>4-(COUNTIF(F29,"完了")+COUNTIF(H29,"完了")+COUNTIF(J29,"完了")+COUNTIF(L29,"完了"))</f>
        <v/>
      </c>
    </row>
    <row r="30" ht="32" customHeight="1">
      <c r="A30" s="14" t="inlineStr">
        <is>
          <t>RGH3-A032-01</t>
        </is>
      </c>
      <c r="B30" s="8" t="n"/>
      <c r="C30" s="15" t="inlineStr">
        <is>
          <t>120度用ﾏｸﾞﾈｯﾄ取付板</t>
        </is>
      </c>
      <c r="D30" s="8" t="n"/>
      <c r="E30" s="10" t="inlineStr">
        <is>
          <t>関根製作所（全加工）</t>
        </is>
      </c>
      <c r="F30" s="11" t="inlineStr">
        <is>
          <t>未着手</t>
        </is>
      </c>
      <c r="G30" s="12" t="inlineStr">
        <is>
          <t>-</t>
        </is>
      </c>
      <c r="H30" s="12" t="inlineStr">
        <is>
          <t>-</t>
        </is>
      </c>
      <c r="I30" s="12" t="inlineStr">
        <is>
          <t>-</t>
        </is>
      </c>
      <c r="J30" s="12" t="inlineStr">
        <is>
          <t>-</t>
        </is>
      </c>
      <c r="K30" s="12" t="inlineStr">
        <is>
          <t>-</t>
        </is>
      </c>
      <c r="L30" s="12" t="inlineStr">
        <is>
          <t>-</t>
        </is>
      </c>
      <c r="M30" s="13">
        <f>1-(COUNTIF(F30,"完了")+COUNTIF(H30,"完了")+COUNTIF(J30,"完了")+COUNTIF(L30,"完了"))</f>
        <v/>
      </c>
    </row>
    <row r="31" ht="32" customHeight="1">
      <c r="A31" s="7" t="inlineStr">
        <is>
          <t>RGH3-A043-00</t>
        </is>
      </c>
      <c r="B31" s="8" t="n"/>
      <c r="C31" s="9" t="inlineStr">
        <is>
          <t>120度用ﾀﾞﾝﾊﾟ-取付台</t>
        </is>
      </c>
      <c r="D31" s="8" t="n"/>
      <c r="E31" s="10" t="inlineStr">
        <is>
          <t>ア－リン（加工）   「＊Ｍ45Ｘ1.5ﾀｯﾌﾟ貸出」</t>
        </is>
      </c>
      <c r="F31" s="11" t="inlineStr">
        <is>
          <t>未着手</t>
        </is>
      </c>
      <c r="G31" s="10" t="inlineStr">
        <is>
          <t>さくらＧＳ</t>
        </is>
      </c>
      <c r="H31" s="11" t="inlineStr">
        <is>
          <t>未着手</t>
        </is>
      </c>
      <c r="I31" s="12" t="inlineStr">
        <is>
          <t>-</t>
        </is>
      </c>
      <c r="J31" s="12" t="inlineStr">
        <is>
          <t>-</t>
        </is>
      </c>
      <c r="K31" s="12" t="inlineStr">
        <is>
          <t>-</t>
        </is>
      </c>
      <c r="L31" s="12" t="inlineStr">
        <is>
          <t>-</t>
        </is>
      </c>
      <c r="M31" s="13">
        <f>2-(COUNTIF(F31,"完了")+COUNTIF(H31,"完了")+COUNTIF(J31,"完了")+COUNTIF(L31,"完了"))</f>
        <v/>
      </c>
    </row>
    <row r="32" ht="32" customHeight="1">
      <c r="A32" s="14" t="inlineStr">
        <is>
          <t>RGH3-A033-00</t>
        </is>
      </c>
      <c r="B32" s="8" t="n"/>
      <c r="C32" s="15" t="inlineStr">
        <is>
          <t>下部軸受</t>
        </is>
      </c>
      <c r="D32" s="8" t="n"/>
      <c r="E32" s="10" t="inlineStr">
        <is>
          <t>SUS304 PL Φ55Ｘ18Ｌ  製作数購入  茨城工場</t>
        </is>
      </c>
      <c r="F32" s="11" t="inlineStr">
        <is>
          <t>未着手</t>
        </is>
      </c>
      <c r="G32" s="12" t="inlineStr">
        <is>
          <t>-</t>
        </is>
      </c>
      <c r="H32" s="12" t="inlineStr">
        <is>
          <t>-</t>
        </is>
      </c>
      <c r="I32" s="12" t="inlineStr">
        <is>
          <t>-</t>
        </is>
      </c>
      <c r="J32" s="12" t="inlineStr">
        <is>
          <t>-</t>
        </is>
      </c>
      <c r="K32" s="12" t="inlineStr">
        <is>
          <t>-</t>
        </is>
      </c>
      <c r="L32" s="12" t="inlineStr">
        <is>
          <t>-</t>
        </is>
      </c>
      <c r="M32" s="13">
        <f>1-(COUNTIF(F32,"完了")+COUNTIF(H32,"完了")+COUNTIF(J32,"完了")+COUNTIF(L32,"完了"))</f>
        <v/>
      </c>
    </row>
    <row r="33" ht="32" customHeight="1">
      <c r="A33" s="7" t="inlineStr">
        <is>
          <t>RGH3-A034-02</t>
        </is>
      </c>
      <c r="B33" s="8" t="n"/>
      <c r="C33" s="9" t="inlineStr">
        <is>
          <t>回転ﾊﾞ-上部軸</t>
        </is>
      </c>
      <c r="D33" s="8" t="n"/>
      <c r="E33" s="10" t="inlineStr">
        <is>
          <t>SUS304 PL HOT四角42Ｘ42Ｘ205Ｌ 製作数購入  アイナ（加工）</t>
        </is>
      </c>
      <c r="F33" s="11" t="inlineStr">
        <is>
          <t>未着手</t>
        </is>
      </c>
      <c r="G33" s="10" t="inlineStr">
        <is>
          <t>松本研磨</t>
        </is>
      </c>
      <c r="H33" s="11" t="inlineStr">
        <is>
          <t>未着手</t>
        </is>
      </c>
      <c r="I33" s="12" t="inlineStr">
        <is>
          <t>-</t>
        </is>
      </c>
      <c r="J33" s="12" t="inlineStr">
        <is>
          <t>-</t>
        </is>
      </c>
      <c r="K33" s="12" t="inlineStr">
        <is>
          <t>-</t>
        </is>
      </c>
      <c r="L33" s="12" t="inlineStr">
        <is>
          <t>-</t>
        </is>
      </c>
      <c r="M33" s="13">
        <f>2-(COUNTIF(F33,"完了")+COUNTIF(H33,"完了")+COUNTIF(J33,"完了")+COUNTIF(L33,"完了"))</f>
        <v/>
      </c>
    </row>
    <row r="34" ht="32" customHeight="1">
      <c r="A34" s="14" t="inlineStr">
        <is>
          <t>RGH3-A035-01</t>
        </is>
      </c>
      <c r="B34" s="8" t="n"/>
      <c r="C34" s="15" t="inlineStr">
        <is>
          <t>回転ﾊﾞ-下部軸</t>
        </is>
      </c>
      <c r="D34" s="8" t="n"/>
      <c r="E34" s="10" t="inlineStr">
        <is>
          <t>SUS304 PL Φ95Ｘ28Ｌ  製作数購入   茨城工場</t>
        </is>
      </c>
      <c r="F34" s="11" t="inlineStr">
        <is>
          <t>未着手</t>
        </is>
      </c>
      <c r="G34" s="12" t="inlineStr">
        <is>
          <t>-</t>
        </is>
      </c>
      <c r="H34" s="12" t="inlineStr">
        <is>
          <t>-</t>
        </is>
      </c>
      <c r="I34" s="12" t="inlineStr">
        <is>
          <t>-</t>
        </is>
      </c>
      <c r="J34" s="12" t="inlineStr">
        <is>
          <t>-</t>
        </is>
      </c>
      <c r="K34" s="12" t="inlineStr">
        <is>
          <t>-</t>
        </is>
      </c>
      <c r="L34" s="12" t="inlineStr">
        <is>
          <t>-</t>
        </is>
      </c>
      <c r="M34" s="13">
        <f>1-(COUNTIF(F34,"完了")+COUNTIF(H34,"完了")+COUNTIF(J34,"完了")+COUNTIF(L34,"完了"))</f>
        <v/>
      </c>
    </row>
    <row r="35" ht="32" customHeight="1">
      <c r="A35" s="7" t="inlineStr">
        <is>
          <t>RGH3-A105-01</t>
        </is>
      </c>
      <c r="B35" s="8" t="n"/>
      <c r="C35" s="9" t="inlineStr">
        <is>
          <t>回転ﾊﾞ-上部軸受</t>
        </is>
      </c>
      <c r="D35" s="8" t="n"/>
      <c r="E35" s="10" t="inlineStr">
        <is>
          <t>SUS304 PL Φ55Ｘ35Ｌ  製作数購入   茨城工場</t>
        </is>
      </c>
      <c r="F35" s="11" t="inlineStr">
        <is>
          <t>未着手</t>
        </is>
      </c>
      <c r="G35" s="12" t="inlineStr">
        <is>
          <t>-</t>
        </is>
      </c>
      <c r="H35" s="12" t="inlineStr">
        <is>
          <t>-</t>
        </is>
      </c>
      <c r="I35" s="12" t="inlineStr">
        <is>
          <t>-</t>
        </is>
      </c>
      <c r="J35" s="12" t="inlineStr">
        <is>
          <t>-</t>
        </is>
      </c>
      <c r="K35" s="12" t="inlineStr">
        <is>
          <t>-</t>
        </is>
      </c>
      <c r="L35" s="12" t="inlineStr">
        <is>
          <t>-</t>
        </is>
      </c>
      <c r="M35" s="13">
        <f>1-(COUNTIF(F35,"完了")+COUNTIF(H35,"完了")+COUNTIF(J35,"完了")+COUNTIF(L35,"完了"))</f>
        <v/>
      </c>
    </row>
    <row r="36" ht="32" customHeight="1">
      <c r="A36" s="14" t="inlineStr">
        <is>
          <t>RGH3-A027-03</t>
        </is>
      </c>
      <c r="B36" s="8" t="n"/>
      <c r="C36" s="15" t="inlineStr">
        <is>
          <t>90度台盤</t>
        </is>
      </c>
      <c r="D36" s="8" t="n"/>
      <c r="E36" s="10" t="inlineStr">
        <is>
          <t>関根製作所（全加工）</t>
        </is>
      </c>
      <c r="F36" s="11" t="inlineStr">
        <is>
          <t>未着手</t>
        </is>
      </c>
      <c r="G36" s="12" t="inlineStr">
        <is>
          <t>-</t>
        </is>
      </c>
      <c r="H36" s="12" t="inlineStr">
        <is>
          <t>-</t>
        </is>
      </c>
      <c r="I36" s="12" t="inlineStr">
        <is>
          <t>-</t>
        </is>
      </c>
      <c r="J36" s="12" t="inlineStr">
        <is>
          <t>-</t>
        </is>
      </c>
      <c r="K36" s="12" t="inlineStr">
        <is>
          <t>-</t>
        </is>
      </c>
      <c r="L36" s="12" t="inlineStr">
        <is>
          <t>-</t>
        </is>
      </c>
      <c r="M36" s="13">
        <f>1-(COUNTIF(F36,"完了")+COUNTIF(H36,"完了")+COUNTIF(J36,"完了")+COUNTIF(L36,"完了"))</f>
        <v/>
      </c>
    </row>
    <row r="37" ht="32" customHeight="1">
      <c r="A37" s="7" t="inlineStr">
        <is>
          <t>RGH3-A004-00</t>
        </is>
      </c>
      <c r="B37" s="8" t="n"/>
      <c r="C37" s="9" t="inlineStr">
        <is>
          <t>90度ｶﾑ</t>
        </is>
      </c>
      <c r="D37" s="8" t="n"/>
      <c r="E37" s="10" t="inlineStr">
        <is>
          <t>SCM４１５黒皮 Φ115Ｘ18Ｌ 製作数購入 茨城工場</t>
        </is>
      </c>
      <c r="F37" s="11" t="inlineStr">
        <is>
          <t>未着手</t>
        </is>
      </c>
      <c r="G37" s="10" t="inlineStr">
        <is>
          <t>ｱｽﾞﾏ（表面高周波焼入）</t>
        </is>
      </c>
      <c r="H37" s="11" t="inlineStr">
        <is>
          <t>未着手</t>
        </is>
      </c>
      <c r="I37" s="10" t="inlineStr">
        <is>
          <t>さくらＧＳ</t>
        </is>
      </c>
      <c r="J37" s="11" t="inlineStr">
        <is>
          <t>未着手</t>
        </is>
      </c>
      <c r="K37" s="12" t="inlineStr">
        <is>
          <t>-</t>
        </is>
      </c>
      <c r="L37" s="12" t="inlineStr">
        <is>
          <t>-</t>
        </is>
      </c>
      <c r="M37" s="13">
        <f>3-(COUNTIF(F37,"完了")+COUNTIF(H37,"完了")+COUNTIF(J37,"完了")+COUNTIF(L37,"完了"))</f>
        <v/>
      </c>
    </row>
    <row r="38" ht="32" customHeight="1">
      <c r="A38" s="14" t="inlineStr">
        <is>
          <t>RGH3-B002-00</t>
        </is>
      </c>
      <c r="B38" s="8" t="n"/>
      <c r="C38" s="15" t="inlineStr">
        <is>
          <t>ﾀﾞﾝﾊﾟ-ｱｰﾑ組立</t>
        </is>
      </c>
      <c r="D38" s="8" t="n"/>
      <c r="E38" s="10" t="inlineStr">
        <is>
          <t>RGH3-006ア－ム軸受 RGH3-A010-00 ダンパーアーム板（関根製作所全加工）</t>
        </is>
      </c>
      <c r="F38" s="11" t="inlineStr">
        <is>
          <t>未着手</t>
        </is>
      </c>
      <c r="G38" s="12" t="inlineStr">
        <is>
          <t>-</t>
        </is>
      </c>
      <c r="H38" s="12" t="inlineStr">
        <is>
          <t>-</t>
        </is>
      </c>
      <c r="I38" s="12" t="inlineStr">
        <is>
          <t>-</t>
        </is>
      </c>
      <c r="J38" s="12" t="inlineStr">
        <is>
          <t>-</t>
        </is>
      </c>
      <c r="K38" s="12" t="inlineStr">
        <is>
          <t>-</t>
        </is>
      </c>
      <c r="L38" s="12" t="inlineStr">
        <is>
          <t>-</t>
        </is>
      </c>
      <c r="M38" s="13">
        <f>1-(COUNTIF(F38,"完了")+COUNTIF(H38,"完了")+COUNTIF(J38,"完了")+COUNTIF(L38,"完了"))</f>
        <v/>
      </c>
    </row>
    <row r="39" ht="32" customHeight="1">
      <c r="A39" s="7" t="inlineStr">
        <is>
          <t>RGH3-A018-02</t>
        </is>
      </c>
      <c r="B39" s="8" t="n"/>
      <c r="C39" s="9" t="inlineStr">
        <is>
          <t>90度用回転軸</t>
        </is>
      </c>
      <c r="D39" s="8" t="n"/>
      <c r="E39" s="10" t="inlineStr">
        <is>
          <t>Ｓ45Ｃ Φ150Ｘ75 製作数購入 ｱｽﾞﾏ（焼きなまし）</t>
        </is>
      </c>
      <c r="F39" s="11" t="inlineStr">
        <is>
          <t>未着手</t>
        </is>
      </c>
      <c r="G39" s="10" t="inlineStr">
        <is>
          <t>茨城工場</t>
        </is>
      </c>
      <c r="H39" s="11" t="inlineStr">
        <is>
          <t>未着手</t>
        </is>
      </c>
      <c r="I39" s="10" t="inlineStr">
        <is>
          <t>ｱｽﾞﾏ（表面高周波焼入）</t>
        </is>
      </c>
      <c r="J39" s="11" t="inlineStr">
        <is>
          <t>未着手</t>
        </is>
      </c>
      <c r="K39" s="10" t="inlineStr">
        <is>
          <t>さくらＧＳ</t>
        </is>
      </c>
      <c r="L39" s="11" t="inlineStr">
        <is>
          <t>未着手</t>
        </is>
      </c>
      <c r="M39" s="13">
        <f>4-(COUNTIF(F39,"完了")+COUNTIF(H39,"完了")+COUNTIF(J39,"完了")+COUNTIF(L39,"完了"))</f>
        <v/>
      </c>
    </row>
    <row r="40" ht="32" customHeight="1">
      <c r="A40" s="14" t="inlineStr">
        <is>
          <t>RGH3-A024-01</t>
        </is>
      </c>
      <c r="B40" s="8" t="n"/>
      <c r="C40" s="15" t="inlineStr">
        <is>
          <t>90度用ﾏｸﾞﾈｯﾄ取付板</t>
        </is>
      </c>
      <c r="D40" s="8" t="n"/>
      <c r="E40" s="10" t="inlineStr">
        <is>
          <t>関根製作所（全加工）</t>
        </is>
      </c>
      <c r="F40" s="11" t="inlineStr">
        <is>
          <t>未着手</t>
        </is>
      </c>
      <c r="G40" s="12" t="inlineStr">
        <is>
          <t>-</t>
        </is>
      </c>
      <c r="H40" s="12" t="inlineStr">
        <is>
          <t>-</t>
        </is>
      </c>
      <c r="I40" s="12" t="inlineStr">
        <is>
          <t>-</t>
        </is>
      </c>
      <c r="J40" s="12" t="inlineStr">
        <is>
          <t>-</t>
        </is>
      </c>
      <c r="K40" s="12" t="inlineStr">
        <is>
          <t>-</t>
        </is>
      </c>
      <c r="L40" s="12" t="inlineStr">
        <is>
          <t>-</t>
        </is>
      </c>
      <c r="M40" s="13">
        <f>1-(COUNTIF(F40,"完了")+COUNTIF(H40,"完了")+COUNTIF(J40,"完了")+COUNTIF(L40,"完了"))</f>
        <v/>
      </c>
    </row>
    <row r="41" ht="32" customHeight="1">
      <c r="A41" s="7" t="inlineStr">
        <is>
          <t>RGH3-A030-00</t>
        </is>
      </c>
      <c r="B41" s="8" t="n"/>
      <c r="C41" s="9" t="inlineStr">
        <is>
          <t>90度用ﾀﾞﾝﾊﾟ-取付台</t>
        </is>
      </c>
      <c r="D41" s="8" t="n"/>
      <c r="E41" s="10" t="inlineStr">
        <is>
          <t>ア－リン（加工）   「＊Ｍ45Ｘ1.5ﾀｯﾌﾟ貸出」</t>
        </is>
      </c>
      <c r="F41" s="11" t="inlineStr">
        <is>
          <t>未着手</t>
        </is>
      </c>
      <c r="G41" s="10" t="inlineStr">
        <is>
          <t>さくらＧＳ</t>
        </is>
      </c>
      <c r="H41" s="11" t="inlineStr">
        <is>
          <t>未着手</t>
        </is>
      </c>
      <c r="I41" s="12" t="inlineStr">
        <is>
          <t>-</t>
        </is>
      </c>
      <c r="J41" s="12" t="inlineStr">
        <is>
          <t>-</t>
        </is>
      </c>
      <c r="K41" s="12" t="inlineStr">
        <is>
          <t>-</t>
        </is>
      </c>
      <c r="L41" s="12" t="inlineStr">
        <is>
          <t>-</t>
        </is>
      </c>
      <c r="M41" s="13">
        <f>2-(COUNTIF(F41,"完了")+COUNTIF(H41,"完了")+COUNTIF(J41,"完了")+COUNTIF(L41,"完了"))</f>
        <v/>
      </c>
    </row>
  </sheetData>
  <mergeCells count="84">
    <mergeCell ref="C6:D6"/>
    <mergeCell ref="A15:B15"/>
    <mergeCell ref="C15:D15"/>
    <mergeCell ref="A7:B7"/>
    <mergeCell ref="C1:D1"/>
    <mergeCell ref="A41:B41"/>
    <mergeCell ref="E1:F1"/>
    <mergeCell ref="C41:D41"/>
    <mergeCell ref="A27:B27"/>
    <mergeCell ref="A33:B33"/>
    <mergeCell ref="C27:D27"/>
    <mergeCell ref="C36:D36"/>
    <mergeCell ref="A17:B17"/>
    <mergeCell ref="C17:D17"/>
    <mergeCell ref="A22:B22"/>
    <mergeCell ref="A35:B35"/>
    <mergeCell ref="A19:B19"/>
    <mergeCell ref="C19:D19"/>
    <mergeCell ref="A28:B28"/>
    <mergeCell ref="C28:D28"/>
    <mergeCell ref="A9:B9"/>
    <mergeCell ref="C3:D3"/>
    <mergeCell ref="A39:B39"/>
    <mergeCell ref="A30:B30"/>
    <mergeCell ref="C30:D30"/>
    <mergeCell ref="A11:B11"/>
    <mergeCell ref="C5:D5"/>
    <mergeCell ref="C14:D14"/>
    <mergeCell ref="C4:D4"/>
    <mergeCell ref="K1:L1"/>
    <mergeCell ref="A37:B37"/>
    <mergeCell ref="C40:D40"/>
    <mergeCell ref="A26:B26"/>
    <mergeCell ref="A8:B8"/>
    <mergeCell ref="C8:D8"/>
    <mergeCell ref="A10:B10"/>
    <mergeCell ref="C18:D18"/>
    <mergeCell ref="A34:B34"/>
    <mergeCell ref="C34:D34"/>
    <mergeCell ref="A36:B36"/>
    <mergeCell ref="A1:B1"/>
    <mergeCell ref="C20:D20"/>
    <mergeCell ref="C29:D29"/>
    <mergeCell ref="C22:D22"/>
    <mergeCell ref="C31:D31"/>
    <mergeCell ref="A3:B3"/>
    <mergeCell ref="A12:B12"/>
    <mergeCell ref="C12:D12"/>
    <mergeCell ref="A21:B21"/>
    <mergeCell ref="C21:D21"/>
    <mergeCell ref="A5:B5"/>
    <mergeCell ref="A32:B32"/>
    <mergeCell ref="A14:B14"/>
    <mergeCell ref="A23:B23"/>
    <mergeCell ref="C23:D23"/>
    <mergeCell ref="A4:B4"/>
    <mergeCell ref="A38:B38"/>
    <mergeCell ref="C32:D32"/>
    <mergeCell ref="C7:D7"/>
    <mergeCell ref="C38:D38"/>
    <mergeCell ref="G1:H1"/>
    <mergeCell ref="A40:B40"/>
    <mergeCell ref="A24:B24"/>
    <mergeCell ref="C24:D24"/>
    <mergeCell ref="C33:D33"/>
    <mergeCell ref="C26:D26"/>
    <mergeCell ref="A6:B6"/>
    <mergeCell ref="C35:D35"/>
    <mergeCell ref="A16:B16"/>
    <mergeCell ref="C10:D10"/>
    <mergeCell ref="C16:D16"/>
    <mergeCell ref="A25:B25"/>
    <mergeCell ref="C25:D25"/>
    <mergeCell ref="C9:D9"/>
    <mergeCell ref="A18:B18"/>
    <mergeCell ref="C11:D11"/>
    <mergeCell ref="C39:D39"/>
    <mergeCell ref="I1:J1"/>
    <mergeCell ref="A20:B20"/>
    <mergeCell ref="A29:B29"/>
    <mergeCell ref="C37:D37"/>
    <mergeCell ref="A13:B13"/>
    <mergeCell ref="C13:D13"/>
    <mergeCell ref="A31:B31"/>
  </mergeCells>
  <conditionalFormatting sqref="F3">
    <cfRule type="cellIs" priority="1" operator="equal" dxfId="0">
      <formula>"完了"</formula>
    </cfRule>
    <cfRule type="cellIs" priority="2" operator="equal" dxfId="1">
      <formula>"作業中"</formula>
    </cfRule>
    <cfRule type="cellIs" priority="3" operator="equal" dxfId="2">
      <formula>"未着手"</formula>
    </cfRule>
  </conditionalFormatting>
  <conditionalFormatting sqref="H3">
    <cfRule type="cellIs" priority="4" operator="equal" dxfId="0">
      <formula>"完了"</formula>
    </cfRule>
    <cfRule type="cellIs" priority="5" operator="equal" dxfId="1">
      <formula>"作業中"</formula>
    </cfRule>
    <cfRule type="cellIs" priority="6" operator="equal" dxfId="2">
      <formula>"未着手"</formula>
    </cfRule>
  </conditionalFormatting>
  <conditionalFormatting sqref="F4">
    <cfRule type="cellIs" priority="7" operator="equal" dxfId="0">
      <formula>"完了"</formula>
    </cfRule>
    <cfRule type="cellIs" priority="8" operator="equal" dxfId="1">
      <formula>"作業中"</formula>
    </cfRule>
    <cfRule type="cellIs" priority="9" operator="equal" dxfId="2">
      <formula>"未着手"</formula>
    </cfRule>
  </conditionalFormatting>
  <conditionalFormatting sqref="H4">
    <cfRule type="cellIs" priority="10" operator="equal" dxfId="0">
      <formula>"完了"</formula>
    </cfRule>
    <cfRule type="cellIs" priority="11" operator="equal" dxfId="1">
      <formula>"作業中"</formula>
    </cfRule>
    <cfRule type="cellIs" priority="12" operator="equal" dxfId="2">
      <formula>"未着手"</formula>
    </cfRule>
  </conditionalFormatting>
  <conditionalFormatting sqref="J4">
    <cfRule type="cellIs" priority="13" operator="equal" dxfId="0">
      <formula>"完了"</formula>
    </cfRule>
    <cfRule type="cellIs" priority="14" operator="equal" dxfId="1">
      <formula>"作業中"</formula>
    </cfRule>
    <cfRule type="cellIs" priority="15" operator="equal" dxfId="2">
      <formula>"未着手"</formula>
    </cfRule>
  </conditionalFormatting>
  <conditionalFormatting sqref="F5">
    <cfRule type="cellIs" priority="16" operator="equal" dxfId="0">
      <formula>"完了"</formula>
    </cfRule>
    <cfRule type="cellIs" priority="17" operator="equal" dxfId="1">
      <formula>"作業中"</formula>
    </cfRule>
    <cfRule type="cellIs" priority="18" operator="equal" dxfId="2">
      <formula>"未着手"</formula>
    </cfRule>
  </conditionalFormatting>
  <conditionalFormatting sqref="H5">
    <cfRule type="cellIs" priority="19" operator="equal" dxfId="0">
      <formula>"完了"</formula>
    </cfRule>
    <cfRule type="cellIs" priority="20" operator="equal" dxfId="1">
      <formula>"作業中"</formula>
    </cfRule>
    <cfRule type="cellIs" priority="21" operator="equal" dxfId="2">
      <formula>"未着手"</formula>
    </cfRule>
  </conditionalFormatting>
  <conditionalFormatting sqref="F6">
    <cfRule type="cellIs" priority="22" operator="equal" dxfId="0">
      <formula>"完了"</formula>
    </cfRule>
    <cfRule type="cellIs" priority="23" operator="equal" dxfId="1">
      <formula>"作業中"</formula>
    </cfRule>
    <cfRule type="cellIs" priority="24" operator="equal" dxfId="2">
      <formula>"未着手"</formula>
    </cfRule>
  </conditionalFormatting>
  <conditionalFormatting sqref="H6">
    <cfRule type="cellIs" priority="25" operator="equal" dxfId="0">
      <formula>"完了"</formula>
    </cfRule>
    <cfRule type="cellIs" priority="26" operator="equal" dxfId="1">
      <formula>"作業中"</formula>
    </cfRule>
    <cfRule type="cellIs" priority="27" operator="equal" dxfId="2">
      <formula>"未着手"</formula>
    </cfRule>
  </conditionalFormatting>
  <conditionalFormatting sqref="F7">
    <cfRule type="cellIs" priority="28" operator="equal" dxfId="0">
      <formula>"完了"</formula>
    </cfRule>
    <cfRule type="cellIs" priority="29" operator="equal" dxfId="1">
      <formula>"作業中"</formula>
    </cfRule>
    <cfRule type="cellIs" priority="30" operator="equal" dxfId="2">
      <formula>"未着手"</formula>
    </cfRule>
  </conditionalFormatting>
  <conditionalFormatting sqref="F8">
    <cfRule type="cellIs" priority="31" operator="equal" dxfId="0">
      <formula>"完了"</formula>
    </cfRule>
    <cfRule type="cellIs" priority="32" operator="equal" dxfId="1">
      <formula>"作業中"</formula>
    </cfRule>
    <cfRule type="cellIs" priority="33" operator="equal" dxfId="2">
      <formula>"未着手"</formula>
    </cfRule>
  </conditionalFormatting>
  <conditionalFormatting sqref="H8">
    <cfRule type="cellIs" priority="34" operator="equal" dxfId="0">
      <formula>"完了"</formula>
    </cfRule>
    <cfRule type="cellIs" priority="35" operator="equal" dxfId="1">
      <formula>"作業中"</formula>
    </cfRule>
    <cfRule type="cellIs" priority="36" operator="equal" dxfId="2">
      <formula>"未着手"</formula>
    </cfRule>
  </conditionalFormatting>
  <conditionalFormatting sqref="F9">
    <cfRule type="cellIs" priority="37" operator="equal" dxfId="0">
      <formula>"完了"</formula>
    </cfRule>
    <cfRule type="cellIs" priority="38" operator="equal" dxfId="1">
      <formula>"作業中"</formula>
    </cfRule>
    <cfRule type="cellIs" priority="39" operator="equal" dxfId="2">
      <formula>"未着手"</formula>
    </cfRule>
  </conditionalFormatting>
  <conditionalFormatting sqref="F10">
    <cfRule type="cellIs" priority="40" operator="equal" dxfId="0">
      <formula>"完了"</formula>
    </cfRule>
    <cfRule type="cellIs" priority="41" operator="equal" dxfId="1">
      <formula>"作業中"</formula>
    </cfRule>
    <cfRule type="cellIs" priority="42" operator="equal" dxfId="2">
      <formula>"未着手"</formula>
    </cfRule>
  </conditionalFormatting>
  <conditionalFormatting sqref="F11">
    <cfRule type="cellIs" priority="43" operator="equal" dxfId="0">
      <formula>"完了"</formula>
    </cfRule>
    <cfRule type="cellIs" priority="44" operator="equal" dxfId="1">
      <formula>"作業中"</formula>
    </cfRule>
    <cfRule type="cellIs" priority="45" operator="equal" dxfId="2">
      <formula>"未着手"</formula>
    </cfRule>
  </conditionalFormatting>
  <conditionalFormatting sqref="H11">
    <cfRule type="cellIs" priority="46" operator="equal" dxfId="0">
      <formula>"完了"</formula>
    </cfRule>
    <cfRule type="cellIs" priority="47" operator="equal" dxfId="1">
      <formula>"作業中"</formula>
    </cfRule>
    <cfRule type="cellIs" priority="48" operator="equal" dxfId="2">
      <formula>"未着手"</formula>
    </cfRule>
  </conditionalFormatting>
  <conditionalFormatting sqref="F12">
    <cfRule type="cellIs" priority="49" operator="equal" dxfId="0">
      <formula>"完了"</formula>
    </cfRule>
    <cfRule type="cellIs" priority="50" operator="equal" dxfId="1">
      <formula>"作業中"</formula>
    </cfRule>
    <cfRule type="cellIs" priority="51" operator="equal" dxfId="2">
      <formula>"未着手"</formula>
    </cfRule>
  </conditionalFormatting>
  <conditionalFormatting sqref="H12">
    <cfRule type="cellIs" priority="52" operator="equal" dxfId="0">
      <formula>"完了"</formula>
    </cfRule>
    <cfRule type="cellIs" priority="53" operator="equal" dxfId="1">
      <formula>"作業中"</formula>
    </cfRule>
    <cfRule type="cellIs" priority="54" operator="equal" dxfId="2">
      <formula>"未着手"</formula>
    </cfRule>
  </conditionalFormatting>
  <conditionalFormatting sqref="F13">
    <cfRule type="cellIs" priority="55" operator="equal" dxfId="0">
      <formula>"完了"</formula>
    </cfRule>
    <cfRule type="cellIs" priority="56" operator="equal" dxfId="1">
      <formula>"作業中"</formula>
    </cfRule>
    <cfRule type="cellIs" priority="57" operator="equal" dxfId="2">
      <formula>"未着手"</formula>
    </cfRule>
  </conditionalFormatting>
  <conditionalFormatting sqref="H13">
    <cfRule type="cellIs" priority="58" operator="equal" dxfId="0">
      <formula>"完了"</formula>
    </cfRule>
    <cfRule type="cellIs" priority="59" operator="equal" dxfId="1">
      <formula>"作業中"</formula>
    </cfRule>
    <cfRule type="cellIs" priority="60" operator="equal" dxfId="2">
      <formula>"未着手"</formula>
    </cfRule>
  </conditionalFormatting>
  <conditionalFormatting sqref="F14">
    <cfRule type="cellIs" priority="61" operator="equal" dxfId="0">
      <formula>"完了"</formula>
    </cfRule>
    <cfRule type="cellIs" priority="62" operator="equal" dxfId="1">
      <formula>"作業中"</formula>
    </cfRule>
    <cfRule type="cellIs" priority="63" operator="equal" dxfId="2">
      <formula>"未着手"</formula>
    </cfRule>
  </conditionalFormatting>
  <conditionalFormatting sqref="H14">
    <cfRule type="cellIs" priority="64" operator="equal" dxfId="0">
      <formula>"完了"</formula>
    </cfRule>
    <cfRule type="cellIs" priority="65" operator="equal" dxfId="1">
      <formula>"作業中"</formula>
    </cfRule>
    <cfRule type="cellIs" priority="66" operator="equal" dxfId="2">
      <formula>"未着手"</formula>
    </cfRule>
  </conditionalFormatting>
  <conditionalFormatting sqref="F15">
    <cfRule type="cellIs" priority="67" operator="equal" dxfId="0">
      <formula>"完了"</formula>
    </cfRule>
    <cfRule type="cellIs" priority="68" operator="equal" dxfId="1">
      <formula>"作業中"</formula>
    </cfRule>
    <cfRule type="cellIs" priority="69" operator="equal" dxfId="2">
      <formula>"未着手"</formula>
    </cfRule>
  </conditionalFormatting>
  <conditionalFormatting sqref="H15">
    <cfRule type="cellIs" priority="70" operator="equal" dxfId="0">
      <formula>"完了"</formula>
    </cfRule>
    <cfRule type="cellIs" priority="71" operator="equal" dxfId="1">
      <formula>"作業中"</formula>
    </cfRule>
    <cfRule type="cellIs" priority="72" operator="equal" dxfId="2">
      <formula>"未着手"</formula>
    </cfRule>
  </conditionalFormatting>
  <conditionalFormatting sqref="F16">
    <cfRule type="cellIs" priority="73" operator="equal" dxfId="0">
      <formula>"完了"</formula>
    </cfRule>
    <cfRule type="cellIs" priority="74" operator="equal" dxfId="1">
      <formula>"作業中"</formula>
    </cfRule>
    <cfRule type="cellIs" priority="75" operator="equal" dxfId="2">
      <formula>"未着手"</formula>
    </cfRule>
  </conditionalFormatting>
  <conditionalFormatting sqref="H16">
    <cfRule type="cellIs" priority="76" operator="equal" dxfId="0">
      <formula>"完了"</formula>
    </cfRule>
    <cfRule type="cellIs" priority="77" operator="equal" dxfId="1">
      <formula>"作業中"</formula>
    </cfRule>
    <cfRule type="cellIs" priority="78" operator="equal" dxfId="2">
      <formula>"未着手"</formula>
    </cfRule>
  </conditionalFormatting>
  <conditionalFormatting sqref="J16">
    <cfRule type="cellIs" priority="79" operator="equal" dxfId="0">
      <formula>"完了"</formula>
    </cfRule>
    <cfRule type="cellIs" priority="80" operator="equal" dxfId="1">
      <formula>"作業中"</formula>
    </cfRule>
    <cfRule type="cellIs" priority="81" operator="equal" dxfId="2">
      <formula>"未着手"</formula>
    </cfRule>
  </conditionalFormatting>
  <conditionalFormatting sqref="L16">
    <cfRule type="cellIs" priority="82" operator="equal" dxfId="0">
      <formula>"完了"</formula>
    </cfRule>
    <cfRule type="cellIs" priority="83" operator="equal" dxfId="1">
      <formula>"作業中"</formula>
    </cfRule>
    <cfRule type="cellIs" priority="84" operator="equal" dxfId="2">
      <formula>"未着手"</formula>
    </cfRule>
  </conditionalFormatting>
  <conditionalFormatting sqref="F17">
    <cfRule type="cellIs" priority="85" operator="equal" dxfId="0">
      <formula>"完了"</formula>
    </cfRule>
    <cfRule type="cellIs" priority="86" operator="equal" dxfId="1">
      <formula>"作業中"</formula>
    </cfRule>
    <cfRule type="cellIs" priority="87" operator="equal" dxfId="2">
      <formula>"未着手"</formula>
    </cfRule>
  </conditionalFormatting>
  <conditionalFormatting sqref="H17">
    <cfRule type="cellIs" priority="88" operator="equal" dxfId="0">
      <formula>"完了"</formula>
    </cfRule>
    <cfRule type="cellIs" priority="89" operator="equal" dxfId="1">
      <formula>"作業中"</formula>
    </cfRule>
    <cfRule type="cellIs" priority="90" operator="equal" dxfId="2">
      <formula>"未着手"</formula>
    </cfRule>
  </conditionalFormatting>
  <conditionalFormatting sqref="F18">
    <cfRule type="cellIs" priority="91" operator="equal" dxfId="0">
      <formula>"完了"</formula>
    </cfRule>
    <cfRule type="cellIs" priority="92" operator="equal" dxfId="1">
      <formula>"作業中"</formula>
    </cfRule>
    <cfRule type="cellIs" priority="93" operator="equal" dxfId="2">
      <formula>"未着手"</formula>
    </cfRule>
  </conditionalFormatting>
  <conditionalFormatting sqref="F19">
    <cfRule type="cellIs" priority="94" operator="equal" dxfId="0">
      <formula>"完了"</formula>
    </cfRule>
    <cfRule type="cellIs" priority="95" operator="equal" dxfId="1">
      <formula>"作業中"</formula>
    </cfRule>
    <cfRule type="cellIs" priority="96" operator="equal" dxfId="2">
      <formula>"未着手"</formula>
    </cfRule>
  </conditionalFormatting>
  <conditionalFormatting sqref="H19">
    <cfRule type="cellIs" priority="97" operator="equal" dxfId="0">
      <formula>"完了"</formula>
    </cfRule>
    <cfRule type="cellIs" priority="98" operator="equal" dxfId="1">
      <formula>"作業中"</formula>
    </cfRule>
    <cfRule type="cellIs" priority="99" operator="equal" dxfId="2">
      <formula>"未着手"</formula>
    </cfRule>
  </conditionalFormatting>
  <conditionalFormatting sqref="F20">
    <cfRule type="cellIs" priority="100" operator="equal" dxfId="0">
      <formula>"完了"</formula>
    </cfRule>
    <cfRule type="cellIs" priority="101" operator="equal" dxfId="1">
      <formula>"作業中"</formula>
    </cfRule>
    <cfRule type="cellIs" priority="102" operator="equal" dxfId="2">
      <formula>"未着手"</formula>
    </cfRule>
  </conditionalFormatting>
  <conditionalFormatting sqref="H20">
    <cfRule type="cellIs" priority="103" operator="equal" dxfId="0">
      <formula>"完了"</formula>
    </cfRule>
    <cfRule type="cellIs" priority="104" operator="equal" dxfId="1">
      <formula>"作業中"</formula>
    </cfRule>
    <cfRule type="cellIs" priority="105" operator="equal" dxfId="2">
      <formula>"未着手"</formula>
    </cfRule>
  </conditionalFormatting>
  <conditionalFormatting sqref="F21">
    <cfRule type="cellIs" priority="106" operator="equal" dxfId="0">
      <formula>"完了"</formula>
    </cfRule>
    <cfRule type="cellIs" priority="107" operator="equal" dxfId="1">
      <formula>"作業中"</formula>
    </cfRule>
    <cfRule type="cellIs" priority="108" operator="equal" dxfId="2">
      <formula>"未着手"</formula>
    </cfRule>
  </conditionalFormatting>
  <conditionalFormatting sqref="H21">
    <cfRule type="cellIs" priority="109" operator="equal" dxfId="0">
      <formula>"完了"</formula>
    </cfRule>
    <cfRule type="cellIs" priority="110" operator="equal" dxfId="1">
      <formula>"作業中"</formula>
    </cfRule>
    <cfRule type="cellIs" priority="111" operator="equal" dxfId="2">
      <formula>"未着手"</formula>
    </cfRule>
  </conditionalFormatting>
  <conditionalFormatting sqref="F22">
    <cfRule type="cellIs" priority="112" operator="equal" dxfId="0">
      <formula>"完了"</formula>
    </cfRule>
    <cfRule type="cellIs" priority="113" operator="equal" dxfId="1">
      <formula>"作業中"</formula>
    </cfRule>
    <cfRule type="cellIs" priority="114" operator="equal" dxfId="2">
      <formula>"未着手"</formula>
    </cfRule>
  </conditionalFormatting>
  <conditionalFormatting sqref="F23">
    <cfRule type="cellIs" priority="115" operator="equal" dxfId="0">
      <formula>"完了"</formula>
    </cfRule>
    <cfRule type="cellIs" priority="116" operator="equal" dxfId="1">
      <formula>"作業中"</formula>
    </cfRule>
    <cfRule type="cellIs" priority="117" operator="equal" dxfId="2">
      <formula>"未着手"</formula>
    </cfRule>
  </conditionalFormatting>
  <conditionalFormatting sqref="H23">
    <cfRule type="cellIs" priority="118" operator="equal" dxfId="0">
      <formula>"完了"</formula>
    </cfRule>
    <cfRule type="cellIs" priority="119" operator="equal" dxfId="1">
      <formula>"作業中"</formula>
    </cfRule>
    <cfRule type="cellIs" priority="120" operator="equal" dxfId="2">
      <formula>"未着手"</formula>
    </cfRule>
  </conditionalFormatting>
  <conditionalFormatting sqref="F24">
    <cfRule type="cellIs" priority="121" operator="equal" dxfId="0">
      <formula>"完了"</formula>
    </cfRule>
    <cfRule type="cellIs" priority="122" operator="equal" dxfId="1">
      <formula>"作業中"</formula>
    </cfRule>
    <cfRule type="cellIs" priority="123" operator="equal" dxfId="2">
      <formula>"未着手"</formula>
    </cfRule>
  </conditionalFormatting>
  <conditionalFormatting sqref="F25">
    <cfRule type="cellIs" priority="124" operator="equal" dxfId="0">
      <formula>"完了"</formula>
    </cfRule>
    <cfRule type="cellIs" priority="125" operator="equal" dxfId="1">
      <formula>"作業中"</formula>
    </cfRule>
    <cfRule type="cellIs" priority="126" operator="equal" dxfId="2">
      <formula>"未着手"</formula>
    </cfRule>
  </conditionalFormatting>
  <conditionalFormatting sqref="F26">
    <cfRule type="cellIs" priority="127" operator="equal" dxfId="0">
      <formula>"完了"</formula>
    </cfRule>
    <cfRule type="cellIs" priority="128" operator="equal" dxfId="1">
      <formula>"作業中"</formula>
    </cfRule>
    <cfRule type="cellIs" priority="129" operator="equal" dxfId="2">
      <formula>"未着手"</formula>
    </cfRule>
  </conditionalFormatting>
  <conditionalFormatting sqref="F27">
    <cfRule type="cellIs" priority="130" operator="equal" dxfId="0">
      <formula>"完了"</formula>
    </cfRule>
    <cfRule type="cellIs" priority="131" operator="equal" dxfId="1">
      <formula>"作業中"</formula>
    </cfRule>
    <cfRule type="cellIs" priority="132" operator="equal" dxfId="2">
      <formula>"未着手"</formula>
    </cfRule>
  </conditionalFormatting>
  <conditionalFormatting sqref="H27">
    <cfRule type="cellIs" priority="133" operator="equal" dxfId="0">
      <formula>"完了"</formula>
    </cfRule>
    <cfRule type="cellIs" priority="134" operator="equal" dxfId="1">
      <formula>"作業中"</formula>
    </cfRule>
    <cfRule type="cellIs" priority="135" operator="equal" dxfId="2">
      <formula>"未着手"</formula>
    </cfRule>
  </conditionalFormatting>
  <conditionalFormatting sqref="J27">
    <cfRule type="cellIs" priority="136" operator="equal" dxfId="0">
      <formula>"完了"</formula>
    </cfRule>
    <cfRule type="cellIs" priority="137" operator="equal" dxfId="1">
      <formula>"作業中"</formula>
    </cfRule>
    <cfRule type="cellIs" priority="138" operator="equal" dxfId="2">
      <formula>"未着手"</formula>
    </cfRule>
  </conditionalFormatting>
  <conditionalFormatting sqref="F28">
    <cfRule type="cellIs" priority="139" operator="equal" dxfId="0">
      <formula>"完了"</formula>
    </cfRule>
    <cfRule type="cellIs" priority="140" operator="equal" dxfId="1">
      <formula>"作業中"</formula>
    </cfRule>
    <cfRule type="cellIs" priority="141" operator="equal" dxfId="2">
      <formula>"未着手"</formula>
    </cfRule>
  </conditionalFormatting>
  <conditionalFormatting sqref="F29">
    <cfRule type="cellIs" priority="142" operator="equal" dxfId="0">
      <formula>"完了"</formula>
    </cfRule>
    <cfRule type="cellIs" priority="143" operator="equal" dxfId="1">
      <formula>"作業中"</formula>
    </cfRule>
    <cfRule type="cellIs" priority="144" operator="equal" dxfId="2">
      <formula>"未着手"</formula>
    </cfRule>
  </conditionalFormatting>
  <conditionalFormatting sqref="H29">
    <cfRule type="cellIs" priority="145" operator="equal" dxfId="0">
      <formula>"完了"</formula>
    </cfRule>
    <cfRule type="cellIs" priority="146" operator="equal" dxfId="1">
      <formula>"作業中"</formula>
    </cfRule>
    <cfRule type="cellIs" priority="147" operator="equal" dxfId="2">
      <formula>"未着手"</formula>
    </cfRule>
  </conditionalFormatting>
  <conditionalFormatting sqref="J29">
    <cfRule type="cellIs" priority="148" operator="equal" dxfId="0">
      <formula>"完了"</formula>
    </cfRule>
    <cfRule type="cellIs" priority="149" operator="equal" dxfId="1">
      <formula>"作業中"</formula>
    </cfRule>
    <cfRule type="cellIs" priority="150" operator="equal" dxfId="2">
      <formula>"未着手"</formula>
    </cfRule>
  </conditionalFormatting>
  <conditionalFormatting sqref="L29">
    <cfRule type="cellIs" priority="151" operator="equal" dxfId="0">
      <formula>"完了"</formula>
    </cfRule>
    <cfRule type="cellIs" priority="152" operator="equal" dxfId="1">
      <formula>"作業中"</formula>
    </cfRule>
    <cfRule type="cellIs" priority="153" operator="equal" dxfId="2">
      <formula>"未着手"</formula>
    </cfRule>
  </conditionalFormatting>
  <conditionalFormatting sqref="F30">
    <cfRule type="cellIs" priority="154" operator="equal" dxfId="0">
      <formula>"完了"</formula>
    </cfRule>
    <cfRule type="cellIs" priority="155" operator="equal" dxfId="1">
      <formula>"作業中"</formula>
    </cfRule>
    <cfRule type="cellIs" priority="156" operator="equal" dxfId="2">
      <formula>"未着手"</formula>
    </cfRule>
  </conditionalFormatting>
  <conditionalFormatting sqref="F31">
    <cfRule type="cellIs" priority="157" operator="equal" dxfId="0">
      <formula>"完了"</formula>
    </cfRule>
    <cfRule type="cellIs" priority="158" operator="equal" dxfId="1">
      <formula>"作業中"</formula>
    </cfRule>
    <cfRule type="cellIs" priority="159" operator="equal" dxfId="2">
      <formula>"未着手"</formula>
    </cfRule>
  </conditionalFormatting>
  <conditionalFormatting sqref="H31">
    <cfRule type="cellIs" priority="160" operator="equal" dxfId="0">
      <formula>"完了"</formula>
    </cfRule>
    <cfRule type="cellIs" priority="161" operator="equal" dxfId="1">
      <formula>"作業中"</formula>
    </cfRule>
    <cfRule type="cellIs" priority="162" operator="equal" dxfId="2">
      <formula>"未着手"</formula>
    </cfRule>
  </conditionalFormatting>
  <conditionalFormatting sqref="F32">
    <cfRule type="cellIs" priority="163" operator="equal" dxfId="0">
      <formula>"完了"</formula>
    </cfRule>
    <cfRule type="cellIs" priority="164" operator="equal" dxfId="1">
      <formula>"作業中"</formula>
    </cfRule>
    <cfRule type="cellIs" priority="165" operator="equal" dxfId="2">
      <formula>"未着手"</formula>
    </cfRule>
  </conditionalFormatting>
  <conditionalFormatting sqref="F33">
    <cfRule type="cellIs" priority="166" operator="equal" dxfId="0">
      <formula>"完了"</formula>
    </cfRule>
    <cfRule type="cellIs" priority="167" operator="equal" dxfId="1">
      <formula>"作業中"</formula>
    </cfRule>
    <cfRule type="cellIs" priority="168" operator="equal" dxfId="2">
      <formula>"未着手"</formula>
    </cfRule>
  </conditionalFormatting>
  <conditionalFormatting sqref="H33">
    <cfRule type="cellIs" priority="169" operator="equal" dxfId="0">
      <formula>"完了"</formula>
    </cfRule>
    <cfRule type="cellIs" priority="170" operator="equal" dxfId="1">
      <formula>"作業中"</formula>
    </cfRule>
    <cfRule type="cellIs" priority="171" operator="equal" dxfId="2">
      <formula>"未着手"</formula>
    </cfRule>
  </conditionalFormatting>
  <conditionalFormatting sqref="F34">
    <cfRule type="cellIs" priority="172" operator="equal" dxfId="0">
      <formula>"完了"</formula>
    </cfRule>
    <cfRule type="cellIs" priority="173" operator="equal" dxfId="1">
      <formula>"作業中"</formula>
    </cfRule>
    <cfRule type="cellIs" priority="174" operator="equal" dxfId="2">
      <formula>"未着手"</formula>
    </cfRule>
  </conditionalFormatting>
  <conditionalFormatting sqref="F35">
    <cfRule type="cellIs" priority="175" operator="equal" dxfId="0">
      <formula>"完了"</formula>
    </cfRule>
    <cfRule type="cellIs" priority="176" operator="equal" dxfId="1">
      <formula>"作業中"</formula>
    </cfRule>
    <cfRule type="cellIs" priority="177" operator="equal" dxfId="2">
      <formula>"未着手"</formula>
    </cfRule>
  </conditionalFormatting>
  <conditionalFormatting sqref="F36">
    <cfRule type="cellIs" priority="178" operator="equal" dxfId="0">
      <formula>"完了"</formula>
    </cfRule>
    <cfRule type="cellIs" priority="179" operator="equal" dxfId="1">
      <formula>"作業中"</formula>
    </cfRule>
    <cfRule type="cellIs" priority="180" operator="equal" dxfId="2">
      <formula>"未着手"</formula>
    </cfRule>
  </conditionalFormatting>
  <conditionalFormatting sqref="F37">
    <cfRule type="cellIs" priority="181" operator="equal" dxfId="0">
      <formula>"完了"</formula>
    </cfRule>
    <cfRule type="cellIs" priority="182" operator="equal" dxfId="1">
      <formula>"作業中"</formula>
    </cfRule>
    <cfRule type="cellIs" priority="183" operator="equal" dxfId="2">
      <formula>"未着手"</formula>
    </cfRule>
  </conditionalFormatting>
  <conditionalFormatting sqref="H37">
    <cfRule type="cellIs" priority="184" operator="equal" dxfId="0">
      <formula>"完了"</formula>
    </cfRule>
    <cfRule type="cellIs" priority="185" operator="equal" dxfId="1">
      <formula>"作業中"</formula>
    </cfRule>
    <cfRule type="cellIs" priority="186" operator="equal" dxfId="2">
      <formula>"未着手"</formula>
    </cfRule>
  </conditionalFormatting>
  <conditionalFormatting sqref="J37">
    <cfRule type="cellIs" priority="187" operator="equal" dxfId="0">
      <formula>"完了"</formula>
    </cfRule>
    <cfRule type="cellIs" priority="188" operator="equal" dxfId="1">
      <formula>"作業中"</formula>
    </cfRule>
    <cfRule type="cellIs" priority="189" operator="equal" dxfId="2">
      <formula>"未着手"</formula>
    </cfRule>
  </conditionalFormatting>
  <conditionalFormatting sqref="F38">
    <cfRule type="cellIs" priority="190" operator="equal" dxfId="0">
      <formula>"完了"</formula>
    </cfRule>
    <cfRule type="cellIs" priority="191" operator="equal" dxfId="1">
      <formula>"作業中"</formula>
    </cfRule>
    <cfRule type="cellIs" priority="192" operator="equal" dxfId="2">
      <formula>"未着手"</formula>
    </cfRule>
  </conditionalFormatting>
  <conditionalFormatting sqref="F39">
    <cfRule type="cellIs" priority="193" operator="equal" dxfId="0">
      <formula>"完了"</formula>
    </cfRule>
    <cfRule type="cellIs" priority="194" operator="equal" dxfId="1">
      <formula>"作業中"</formula>
    </cfRule>
    <cfRule type="cellIs" priority="195" operator="equal" dxfId="2">
      <formula>"未着手"</formula>
    </cfRule>
  </conditionalFormatting>
  <conditionalFormatting sqref="H39">
    <cfRule type="cellIs" priority="196" operator="equal" dxfId="0">
      <formula>"完了"</formula>
    </cfRule>
    <cfRule type="cellIs" priority="197" operator="equal" dxfId="1">
      <formula>"作業中"</formula>
    </cfRule>
    <cfRule type="cellIs" priority="198" operator="equal" dxfId="2">
      <formula>"未着手"</formula>
    </cfRule>
  </conditionalFormatting>
  <conditionalFormatting sqref="J39">
    <cfRule type="cellIs" priority="199" operator="equal" dxfId="0">
      <formula>"完了"</formula>
    </cfRule>
    <cfRule type="cellIs" priority="200" operator="equal" dxfId="1">
      <formula>"作業中"</formula>
    </cfRule>
    <cfRule type="cellIs" priority="201" operator="equal" dxfId="2">
      <formula>"未着手"</formula>
    </cfRule>
  </conditionalFormatting>
  <conditionalFormatting sqref="L39">
    <cfRule type="cellIs" priority="202" operator="equal" dxfId="0">
      <formula>"完了"</formula>
    </cfRule>
    <cfRule type="cellIs" priority="203" operator="equal" dxfId="1">
      <formula>"作業中"</formula>
    </cfRule>
    <cfRule type="cellIs" priority="204" operator="equal" dxfId="2">
      <formula>"未着手"</formula>
    </cfRule>
  </conditionalFormatting>
  <conditionalFormatting sqref="F40">
    <cfRule type="cellIs" priority="205" operator="equal" dxfId="0">
      <formula>"完了"</formula>
    </cfRule>
    <cfRule type="cellIs" priority="206" operator="equal" dxfId="1">
      <formula>"作業中"</formula>
    </cfRule>
    <cfRule type="cellIs" priority="207" operator="equal" dxfId="2">
      <formula>"未着手"</formula>
    </cfRule>
  </conditionalFormatting>
  <conditionalFormatting sqref="F41">
    <cfRule type="cellIs" priority="208" operator="equal" dxfId="0">
      <formula>"完了"</formula>
    </cfRule>
    <cfRule type="cellIs" priority="209" operator="equal" dxfId="1">
      <formula>"作業中"</formula>
    </cfRule>
    <cfRule type="cellIs" priority="210" operator="equal" dxfId="2">
      <formula>"未着手"</formula>
    </cfRule>
  </conditionalFormatting>
  <conditionalFormatting sqref="H41">
    <cfRule type="cellIs" priority="211" operator="equal" dxfId="0">
      <formula>"完了"</formula>
    </cfRule>
    <cfRule type="cellIs" priority="212" operator="equal" dxfId="1">
      <formula>"作業中"</formula>
    </cfRule>
    <cfRule type="cellIs" priority="213" operator="equal" dxfId="2">
      <formula>"未着手"</formula>
    </cfRule>
  </conditionalFormatting>
  <conditionalFormatting sqref="M3">
    <cfRule type="cellIs" priority="214" operator="equal" dxfId="3">
      <formula>0</formula>
    </cfRule>
    <cfRule type="cellIs" priority="215" operator="greaterThan" dxfId="4">
      <formula>0</formula>
    </cfRule>
  </conditionalFormatting>
  <conditionalFormatting sqref="M4">
    <cfRule type="cellIs" priority="216" operator="equal" dxfId="3">
      <formula>0</formula>
    </cfRule>
    <cfRule type="cellIs" priority="217" operator="greaterThan" dxfId="4">
      <formula>0</formula>
    </cfRule>
  </conditionalFormatting>
  <conditionalFormatting sqref="M5">
    <cfRule type="cellIs" priority="218" operator="equal" dxfId="3">
      <formula>0</formula>
    </cfRule>
    <cfRule type="cellIs" priority="219" operator="greaterThan" dxfId="4">
      <formula>0</formula>
    </cfRule>
  </conditionalFormatting>
  <conditionalFormatting sqref="M6">
    <cfRule type="cellIs" priority="220" operator="equal" dxfId="3">
      <formula>0</formula>
    </cfRule>
    <cfRule type="cellIs" priority="221" operator="greaterThan" dxfId="4">
      <formula>0</formula>
    </cfRule>
  </conditionalFormatting>
  <conditionalFormatting sqref="M7">
    <cfRule type="cellIs" priority="222" operator="equal" dxfId="3">
      <formula>0</formula>
    </cfRule>
    <cfRule type="cellIs" priority="223" operator="greaterThan" dxfId="4">
      <formula>0</formula>
    </cfRule>
  </conditionalFormatting>
  <conditionalFormatting sqref="M8">
    <cfRule type="cellIs" priority="224" operator="equal" dxfId="3">
      <formula>0</formula>
    </cfRule>
    <cfRule type="cellIs" priority="225" operator="greaterThan" dxfId="4">
      <formula>0</formula>
    </cfRule>
  </conditionalFormatting>
  <conditionalFormatting sqref="M9">
    <cfRule type="cellIs" priority="226" operator="equal" dxfId="3">
      <formula>0</formula>
    </cfRule>
    <cfRule type="cellIs" priority="227" operator="greaterThan" dxfId="4">
      <formula>0</formula>
    </cfRule>
  </conditionalFormatting>
  <conditionalFormatting sqref="M10">
    <cfRule type="cellIs" priority="228" operator="equal" dxfId="3">
      <formula>0</formula>
    </cfRule>
    <cfRule type="cellIs" priority="229" operator="greaterThan" dxfId="4">
      <formula>0</formula>
    </cfRule>
  </conditionalFormatting>
  <conditionalFormatting sqref="M11">
    <cfRule type="cellIs" priority="230" operator="equal" dxfId="3">
      <formula>0</formula>
    </cfRule>
    <cfRule type="cellIs" priority="231" operator="greaterThan" dxfId="4">
      <formula>0</formula>
    </cfRule>
  </conditionalFormatting>
  <conditionalFormatting sqref="M12">
    <cfRule type="cellIs" priority="232" operator="equal" dxfId="3">
      <formula>0</formula>
    </cfRule>
    <cfRule type="cellIs" priority="233" operator="greaterThan" dxfId="4">
      <formula>0</formula>
    </cfRule>
  </conditionalFormatting>
  <conditionalFormatting sqref="M13">
    <cfRule type="cellIs" priority="234" operator="equal" dxfId="3">
      <formula>0</formula>
    </cfRule>
    <cfRule type="cellIs" priority="235" operator="greaterThan" dxfId="4">
      <formula>0</formula>
    </cfRule>
  </conditionalFormatting>
  <conditionalFormatting sqref="M14">
    <cfRule type="cellIs" priority="236" operator="equal" dxfId="3">
      <formula>0</formula>
    </cfRule>
    <cfRule type="cellIs" priority="237" operator="greaterThan" dxfId="4">
      <formula>0</formula>
    </cfRule>
  </conditionalFormatting>
  <conditionalFormatting sqref="M15">
    <cfRule type="cellIs" priority="238" operator="equal" dxfId="3">
      <formula>0</formula>
    </cfRule>
    <cfRule type="cellIs" priority="239" operator="greaterThan" dxfId="4">
      <formula>0</formula>
    </cfRule>
  </conditionalFormatting>
  <conditionalFormatting sqref="M16">
    <cfRule type="cellIs" priority="240" operator="equal" dxfId="3">
      <formula>0</formula>
    </cfRule>
    <cfRule type="cellIs" priority="241" operator="greaterThan" dxfId="4">
      <formula>0</formula>
    </cfRule>
  </conditionalFormatting>
  <conditionalFormatting sqref="M17">
    <cfRule type="cellIs" priority="242" operator="equal" dxfId="3">
      <formula>0</formula>
    </cfRule>
    <cfRule type="cellIs" priority="243" operator="greaterThan" dxfId="4">
      <formula>0</formula>
    </cfRule>
  </conditionalFormatting>
  <conditionalFormatting sqref="M18">
    <cfRule type="cellIs" priority="244" operator="equal" dxfId="3">
      <formula>0</formula>
    </cfRule>
    <cfRule type="cellIs" priority="245" operator="greaterThan" dxfId="4">
      <formula>0</formula>
    </cfRule>
  </conditionalFormatting>
  <conditionalFormatting sqref="M19">
    <cfRule type="cellIs" priority="246" operator="equal" dxfId="3">
      <formula>0</formula>
    </cfRule>
    <cfRule type="cellIs" priority="247" operator="greaterThan" dxfId="4">
      <formula>0</formula>
    </cfRule>
  </conditionalFormatting>
  <conditionalFormatting sqref="M20">
    <cfRule type="cellIs" priority="248" operator="equal" dxfId="3">
      <formula>0</formula>
    </cfRule>
    <cfRule type="cellIs" priority="249" operator="greaterThan" dxfId="4">
      <formula>0</formula>
    </cfRule>
  </conditionalFormatting>
  <conditionalFormatting sqref="M21">
    <cfRule type="cellIs" priority="250" operator="equal" dxfId="3">
      <formula>0</formula>
    </cfRule>
    <cfRule type="cellIs" priority="251" operator="greaterThan" dxfId="4">
      <formula>0</formula>
    </cfRule>
  </conditionalFormatting>
  <conditionalFormatting sqref="M22">
    <cfRule type="cellIs" priority="252" operator="equal" dxfId="3">
      <formula>0</formula>
    </cfRule>
    <cfRule type="cellIs" priority="253" operator="greaterThan" dxfId="4">
      <formula>0</formula>
    </cfRule>
  </conditionalFormatting>
  <conditionalFormatting sqref="M23">
    <cfRule type="cellIs" priority="254" operator="equal" dxfId="3">
      <formula>0</formula>
    </cfRule>
    <cfRule type="cellIs" priority="255" operator="greaterThan" dxfId="4">
      <formula>0</formula>
    </cfRule>
  </conditionalFormatting>
  <conditionalFormatting sqref="M24">
    <cfRule type="cellIs" priority="256" operator="equal" dxfId="3">
      <formula>0</formula>
    </cfRule>
    <cfRule type="cellIs" priority="257" operator="greaterThan" dxfId="4">
      <formula>0</formula>
    </cfRule>
  </conditionalFormatting>
  <conditionalFormatting sqref="M25">
    <cfRule type="cellIs" priority="258" operator="equal" dxfId="3">
      <formula>0</formula>
    </cfRule>
    <cfRule type="cellIs" priority="259" operator="greaterThan" dxfId="4">
      <formula>0</formula>
    </cfRule>
  </conditionalFormatting>
  <conditionalFormatting sqref="M26">
    <cfRule type="cellIs" priority="260" operator="equal" dxfId="3">
      <formula>0</formula>
    </cfRule>
    <cfRule type="cellIs" priority="261" operator="greaterThan" dxfId="4">
      <formula>0</formula>
    </cfRule>
  </conditionalFormatting>
  <conditionalFormatting sqref="M27">
    <cfRule type="cellIs" priority="262" operator="equal" dxfId="3">
      <formula>0</formula>
    </cfRule>
    <cfRule type="cellIs" priority="263" operator="greaterThan" dxfId="4">
      <formula>0</formula>
    </cfRule>
  </conditionalFormatting>
  <conditionalFormatting sqref="M28">
    <cfRule type="cellIs" priority="264" operator="equal" dxfId="3">
      <formula>0</formula>
    </cfRule>
    <cfRule type="cellIs" priority="265" operator="greaterThan" dxfId="4">
      <formula>0</formula>
    </cfRule>
  </conditionalFormatting>
  <conditionalFormatting sqref="M29">
    <cfRule type="cellIs" priority="266" operator="equal" dxfId="3">
      <formula>0</formula>
    </cfRule>
    <cfRule type="cellIs" priority="267" operator="greaterThan" dxfId="4">
      <formula>0</formula>
    </cfRule>
  </conditionalFormatting>
  <conditionalFormatting sqref="M30">
    <cfRule type="cellIs" priority="268" operator="equal" dxfId="3">
      <formula>0</formula>
    </cfRule>
    <cfRule type="cellIs" priority="269" operator="greaterThan" dxfId="4">
      <formula>0</formula>
    </cfRule>
  </conditionalFormatting>
  <conditionalFormatting sqref="M31">
    <cfRule type="cellIs" priority="270" operator="equal" dxfId="3">
      <formula>0</formula>
    </cfRule>
    <cfRule type="cellIs" priority="271" operator="greaterThan" dxfId="4">
      <formula>0</formula>
    </cfRule>
  </conditionalFormatting>
  <conditionalFormatting sqref="M32">
    <cfRule type="cellIs" priority="272" operator="equal" dxfId="3">
      <formula>0</formula>
    </cfRule>
    <cfRule type="cellIs" priority="273" operator="greaterThan" dxfId="4">
      <formula>0</formula>
    </cfRule>
  </conditionalFormatting>
  <conditionalFormatting sqref="M33">
    <cfRule type="cellIs" priority="274" operator="equal" dxfId="3">
      <formula>0</formula>
    </cfRule>
    <cfRule type="cellIs" priority="275" operator="greaterThan" dxfId="4">
      <formula>0</formula>
    </cfRule>
  </conditionalFormatting>
  <conditionalFormatting sqref="M34">
    <cfRule type="cellIs" priority="276" operator="equal" dxfId="3">
      <formula>0</formula>
    </cfRule>
    <cfRule type="cellIs" priority="277" operator="greaterThan" dxfId="4">
      <formula>0</formula>
    </cfRule>
  </conditionalFormatting>
  <conditionalFormatting sqref="M35">
    <cfRule type="cellIs" priority="278" operator="equal" dxfId="3">
      <formula>0</formula>
    </cfRule>
    <cfRule type="cellIs" priority="279" operator="greaterThan" dxfId="4">
      <formula>0</formula>
    </cfRule>
  </conditionalFormatting>
  <conditionalFormatting sqref="M36">
    <cfRule type="cellIs" priority="280" operator="equal" dxfId="3">
      <formula>0</formula>
    </cfRule>
    <cfRule type="cellIs" priority="281" operator="greaterThan" dxfId="4">
      <formula>0</formula>
    </cfRule>
  </conditionalFormatting>
  <conditionalFormatting sqref="M37">
    <cfRule type="cellIs" priority="282" operator="equal" dxfId="3">
      <formula>0</formula>
    </cfRule>
    <cfRule type="cellIs" priority="283" operator="greaterThan" dxfId="4">
      <formula>0</formula>
    </cfRule>
  </conditionalFormatting>
  <conditionalFormatting sqref="M38">
    <cfRule type="cellIs" priority="284" operator="equal" dxfId="3">
      <formula>0</formula>
    </cfRule>
    <cfRule type="cellIs" priority="285" operator="greaterThan" dxfId="4">
      <formula>0</formula>
    </cfRule>
  </conditionalFormatting>
  <conditionalFormatting sqref="M39">
    <cfRule type="cellIs" priority="286" operator="equal" dxfId="3">
      <formula>0</formula>
    </cfRule>
    <cfRule type="cellIs" priority="287" operator="greaterThan" dxfId="4">
      <formula>0</formula>
    </cfRule>
  </conditionalFormatting>
  <conditionalFormatting sqref="M40">
    <cfRule type="cellIs" priority="288" operator="equal" dxfId="3">
      <formula>0</formula>
    </cfRule>
    <cfRule type="cellIs" priority="289" operator="greaterThan" dxfId="4">
      <formula>0</formula>
    </cfRule>
  </conditionalFormatting>
  <conditionalFormatting sqref="M41">
    <cfRule type="cellIs" priority="290" operator="equal" dxfId="3">
      <formula>0</formula>
    </cfRule>
    <cfRule type="cellIs" priority="291" operator="greaterThan" dxfId="4">
      <formula>0</formula>
    </cfRule>
  </conditionalFormatting>
  <dataValidations count="1">
    <dataValidation sqref="F3 F4 F5 F6 F7 F8 F9 F10 F11 F12 F13 F14 F15 F16 F17 F18 F19 F20 F21 F22 F23 F24 F25 F26 F27 F28 F29 F30 F31 F32 F33 F34 F35 F36 F37 F38 F39 F40 F41 H3 H4 H5 H6 H8 H11 H12 H13 H14 H15 H16 H17 H19 H20 H21 H23 H27 H29 H31 H33 H37 H39 H41 J4 J16 J27 J29 J37 J39 L16 L29 L39" showDropDown="0" showInputMessage="0" showErrorMessage="0" allowBlank="0" type="list">
      <formula1>"完了,作業中,未着手,-"</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0" customWidth="1" min="1" max="1"/>
    <col width="30" customWidth="1" min="2" max="2"/>
  </cols>
  <sheetData>
    <row r="1">
      <c r="A1" t="inlineStr">
        <is>
          <t>工程進捗管理シート 使い方</t>
        </is>
      </c>
    </row>
    <row r="2">
      <c r="A2" t="inlineStr"/>
    </row>
    <row r="3">
      <c r="A3" t="inlineStr">
        <is>
          <t>■ ステータスの入力方法</t>
        </is>
      </c>
    </row>
    <row r="4">
      <c r="A4" t="inlineStr">
        <is>
          <t xml:space="preserve">  各工程のステータス列をクリックするとドロップダウンが表示されます</t>
        </is>
      </c>
    </row>
    <row r="5">
      <c r="A5" t="inlineStr">
        <is>
          <t xml:space="preserve">  「未着手」「作業中」「完了」「-」から選んでください</t>
        </is>
      </c>
    </row>
    <row r="6">
      <c r="A6" t="inlineStr"/>
    </row>
    <row r="7">
      <c r="A7" t="inlineStr">
        <is>
          <t>■ 色の意味</t>
        </is>
      </c>
    </row>
    <row r="8">
      <c r="A8" t="inlineStr">
        <is>
          <t>色</t>
        </is>
      </c>
      <c r="B8" t="inlineStr">
        <is>
          <t>意味</t>
        </is>
      </c>
    </row>
    <row r="9">
      <c r="A9" t="inlineStr">
        <is>
          <t>緑（完了）</t>
        </is>
      </c>
      <c r="B9" t="inlineStr">
        <is>
          <t>その工程が完了済み</t>
        </is>
      </c>
    </row>
    <row r="10">
      <c r="A10" t="inlineStr">
        <is>
          <t>青（作業中）</t>
        </is>
      </c>
      <c r="B10" t="inlineStr">
        <is>
          <t>現在作業中・外注中</t>
        </is>
      </c>
    </row>
    <row r="11">
      <c r="A11" t="inlineStr">
        <is>
          <t>黄（未着手）</t>
        </is>
      </c>
      <c r="B11" t="inlineStr">
        <is>
          <t>まだ着手していない</t>
        </is>
      </c>
    </row>
    <row r="12">
      <c r="A12" t="inlineStr">
        <is>
          <t>グレー（-）</t>
        </is>
      </c>
      <c r="B12" t="inlineStr">
        <is>
          <t>その品番に工程なし</t>
        </is>
      </c>
    </row>
    <row r="13">
      <c r="A13" t="inlineStr"/>
    </row>
    <row r="14">
      <c r="A14" t="inlineStr">
        <is>
          <t>■ 注残数</t>
        </is>
      </c>
    </row>
    <row r="15">
      <c r="A15" t="inlineStr">
        <is>
          <t xml:space="preserve">  右端の「注残数」列 = 総工程数 - 完了工程数</t>
        </is>
      </c>
    </row>
    <row r="16">
      <c r="A16" t="inlineStr">
        <is>
          <t xml:space="preserve">  0になると全工程完了（緑表示）</t>
        </is>
      </c>
    </row>
    <row r="17">
      <c r="A17" t="inlineStr">
        <is>
          <t xml:space="preserve">  1以上は要対応（赤表示）</t>
        </is>
      </c>
    </row>
    <row r="18">
      <c r="A18" t="inlineStr"/>
    </row>
    <row r="19">
      <c r="A19" t="inlineStr">
        <is>
          <t>■ 運用フロー</t>
        </is>
      </c>
    </row>
    <row r="20">
      <c r="A20" t="inlineStr">
        <is>
          <t xml:space="preserve">  1. 外注に出したら → 「作業中」に変更</t>
        </is>
      </c>
    </row>
    <row r="21">
      <c r="A21" t="inlineStr">
        <is>
          <t xml:space="preserve">  2. 戻ってきたら → 「完了」に変更</t>
        </is>
      </c>
    </row>
    <row r="22">
      <c r="A22" t="inlineStr">
        <is>
          <t xml:space="preserve">  3. 注残数が0になれば全工程完了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2026-06-10T03:55:22Z</dcterms:created>
  <dcterms:modified xsi:type="dcterms:W3CDTF">2026-06-10T03:55:22Z</dcterms:modified>
</cp:coreProperties>
</file>